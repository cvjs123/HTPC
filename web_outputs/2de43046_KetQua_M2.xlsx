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name="Tiêu chuẩn PCGD THCS" sheetId="1" state="visible" r:id="rId1"/>
    <sheet name="Sheet1" sheetId="2" state="visible" r:id="rId2"/>
  </sheets>
  <definedNames/>
  <calcPr calcId="191029" fullCalcOnLoad="1"/>
</workbook>
</file>

<file path=xl/styles.xml><?xml version="1.0" encoding="utf-8"?>
<styleSheet xmlns="http://schemas.openxmlformats.org/spreadsheetml/2006/main">
  <numFmts count="1">
    <numFmt numFmtId="164" formatCode="#,###"/>
  </numFmts>
  <fonts count="21">
    <font>
      <name val="Arial"/>
      <color indexed="8"/>
      <sz val="10"/>
    </font>
    <font>
      <name val="Times New Roman"/>
      <color indexed="8"/>
      <sz val="12"/>
    </font>
    <font>
      <name val="Times New Roman"/>
      <i val="1"/>
      <color indexed="8"/>
      <sz val="12"/>
    </font>
    <font>
      <name val="Times New Roman"/>
      <color indexed="8"/>
      <sz val="14"/>
    </font>
    <font>
      <name val="Times New Roman"/>
      <family val="1"/>
      <b val="1"/>
      <color indexed="8"/>
      <sz val="12"/>
    </font>
    <font>
      <name val="Times New Roman"/>
      <family val="1"/>
      <b val="1"/>
      <color indexed="8"/>
      <sz val="12"/>
      <u val="single"/>
    </font>
    <font>
      <name val="Times New Roman"/>
      <family val="1"/>
      <b val="1"/>
      <i val="1"/>
      <color indexed="8"/>
      <sz val="12"/>
    </font>
    <font>
      <name val="Times New Roman"/>
      <family val="1"/>
      <b val="1"/>
      <i val="1"/>
      <color indexed="8"/>
      <sz val="12"/>
      <u val="single"/>
    </font>
    <font>
      <name val="Times New Roman"/>
      <family val="1"/>
      <b val="1"/>
      <color indexed="8"/>
      <sz val="14"/>
    </font>
    <font>
      <name val="Times New Roman"/>
      <family val="1"/>
      <b val="1"/>
      <color indexed="8"/>
      <sz val="9"/>
    </font>
    <font>
      <name val="Times New Roman"/>
      <family val="1"/>
      <color indexed="8"/>
      <sz val="9"/>
    </font>
    <font>
      <name val="Arial"/>
      <family val="2"/>
      <color indexed="8"/>
      <sz val="9"/>
    </font>
    <font>
      <name val="Arial"/>
      <family val="2"/>
      <color indexed="8"/>
      <sz val="10"/>
    </font>
    <font>
      <name val="Times New Roman"/>
      <family val="1"/>
      <color indexed="8"/>
      <sz val="12"/>
    </font>
    <font>
      <name val="Times New Roman"/>
      <family val="1"/>
      <color indexed="8"/>
      <sz val="10"/>
    </font>
    <font>
      <name val="Times New Roman"/>
      <family val="1"/>
      <b val="1"/>
      <color indexed="8"/>
      <sz val="10"/>
    </font>
    <font>
      <name val="Times New Roman"/>
      <family val="1"/>
      <i val="1"/>
      <color indexed="8"/>
      <sz val="12"/>
    </font>
    <font>
      <name val="Times New Roman"/>
      <family val="1"/>
      <sz val="10"/>
    </font>
    <font>
      <name val="Times New Roman"/>
      <family val="1"/>
      <color rgb="FFFF0000"/>
      <sz val="10"/>
    </font>
    <font>
      <name val="Times New Roman"/>
      <family val="1"/>
      <color indexed="8"/>
      <sz val="11"/>
    </font>
    <font>
      <name val="Times New Roman"/>
      <family val="1"/>
      <b val="1"/>
      <color indexed="8"/>
      <sz val="11"/>
    </font>
  </fonts>
  <fills count="5">
    <fill>
      <patternFill/>
    </fill>
    <fill>
      <patternFill patternType="gray125"/>
    </fill>
    <fill>
      <patternFill patternType="solid">
        <fgColor rgb="FFFFFF00"/>
        <bgColor indexed="64"/>
      </patternFill>
    </fill>
    <fill>
      <patternFill patternType="solid">
        <fgColor rgb="FF76E3FF"/>
        <bgColor indexed="64"/>
      </patternFill>
    </fill>
    <fill>
      <patternFill patternType="solid">
        <fgColor rgb="FF76E3FF"/>
        <bgColor indexed="9"/>
      </patternFill>
    </fill>
  </fills>
  <borders count="13">
    <border>
      <left/>
      <right/>
      <top/>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right/>
      <top style="thin">
        <color indexed="8"/>
      </top>
      <bottom/>
      <diagonal/>
    </border>
    <border>
      <left/>
      <right style="thin">
        <color indexed="8"/>
      </right>
      <top style="thin">
        <color indexed="8"/>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top/>
      <bottom/>
      <diagonal/>
    </border>
    <border>
      <left/>
      <right style="thin">
        <color indexed="8"/>
      </right>
      <top/>
      <bottom/>
      <diagonal/>
    </border>
  </borders>
  <cellStyleXfs count="1">
    <xf numFmtId="0" fontId="0" fillId="0" borderId="0"/>
  </cellStyleXfs>
  <cellXfs count="80">
    <xf numFmtId="0" fontId="0" fillId="0" borderId="0" pivotButton="0" quotePrefix="0" xfId="0"/>
    <xf numFmtId="0" fontId="1"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4" fillId="0" borderId="0" applyAlignment="1" pivotButton="0" quotePrefix="0" xfId="0">
      <alignment vertical="center"/>
    </xf>
    <xf numFmtId="0" fontId="1" fillId="0" borderId="0" pivotButton="0" quotePrefix="0" xfId="0"/>
    <xf numFmtId="2" fontId="1" fillId="0" borderId="0" pivotButton="0" quotePrefix="0" xfId="0"/>
    <xf numFmtId="0" fontId="8" fillId="0" borderId="0" applyAlignment="1" pivotButton="0" quotePrefix="0" xfId="0">
      <alignment horizontal="center" vertical="center" wrapText="1"/>
    </xf>
    <xf numFmtId="0" fontId="0" fillId="0" borderId="0" pivotButton="0" quotePrefix="0" xfId="0"/>
    <xf numFmtId="2" fontId="1" fillId="0" borderId="0" pivotButton="0" quotePrefix="0" xfId="0"/>
    <xf numFmtId="0" fontId="1" fillId="0" borderId="0" pivotButton="0" quotePrefix="0" xfId="0"/>
    <xf numFmtId="2" fontId="4" fillId="0" borderId="0" pivotButton="0" quotePrefix="0" xfId="0"/>
    <xf numFmtId="0" fontId="4" fillId="0" borderId="0" applyAlignment="1" pivotButton="0" quotePrefix="0" xfId="0">
      <alignment horizontal="center"/>
    </xf>
    <xf numFmtId="0" fontId="3" fillId="0" borderId="0" pivotButton="0" quotePrefix="0" xfId="0"/>
    <xf numFmtId="2" fontId="3" fillId="0" borderId="0" pivotButton="0" quotePrefix="0" xfId="0"/>
    <xf numFmtId="0" fontId="8" fillId="0" borderId="0" applyAlignment="1" pivotButton="0" quotePrefix="0" xfId="0">
      <alignment horizontal="center"/>
    </xf>
    <xf numFmtId="0" fontId="2" fillId="0" borderId="0" pivotButton="0" quotePrefix="0" xfId="0"/>
    <xf numFmtId="2" fontId="2" fillId="0" borderId="0" pivotButton="0" quotePrefix="0" xfId="0"/>
    <xf numFmtId="0" fontId="16" fillId="0" borderId="0" applyAlignment="1" pivotButton="0" quotePrefix="0" xfId="0">
      <alignment horizontal="center"/>
    </xf>
    <xf numFmtId="0" fontId="14" fillId="0" borderId="1" applyAlignment="1" pivotButton="0" quotePrefix="0" xfId="0">
      <alignment horizontal="center" vertical="center"/>
    </xf>
    <xf numFmtId="0" fontId="14" fillId="0" borderId="1" applyAlignment="1" pivotButton="0" quotePrefix="0" xfId="0">
      <alignment horizontal="center" vertical="center" wrapText="1"/>
    </xf>
    <xf numFmtId="0" fontId="0" fillId="0" borderId="2" pivotButton="0" quotePrefix="0" xfId="0"/>
    <xf numFmtId="0" fontId="0" fillId="0" borderId="3" pivotButton="0" quotePrefix="0" xfId="0"/>
    <xf numFmtId="0" fontId="14" fillId="0" borderId="0"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14" fillId="0" borderId="1" applyAlignment="1" pivotButton="0" quotePrefix="0" xfId="0">
      <alignment horizontal="center" vertical="center" wrapText="1"/>
    </xf>
    <xf numFmtId="2" fontId="14" fillId="0" borderId="1" applyAlignment="1" pivotButton="0" quotePrefix="0" xfId="0">
      <alignment horizontal="center" vertical="center" wrapText="1"/>
    </xf>
    <xf numFmtId="49" fontId="14" fillId="0" borderId="1" applyAlignment="1" pivotButton="0" quotePrefix="0" xfId="0">
      <alignment horizontal="center" vertical="center" shrinkToFit="1"/>
    </xf>
    <xf numFmtId="2" fontId="14" fillId="0" borderId="1" applyAlignment="1" pivotButton="0" quotePrefix="0" xfId="0">
      <alignment horizontal="center" vertical="center" shrinkToFit="1"/>
    </xf>
    <xf numFmtId="49" fontId="18" fillId="0" borderId="1" applyAlignment="1" pivotButton="0" quotePrefix="0" xfId="0">
      <alignment horizontal="center" vertical="center" shrinkToFit="1"/>
    </xf>
    <xf numFmtId="0" fontId="14" fillId="0" borderId="1" applyAlignment="1" pivotButton="0" quotePrefix="0" xfId="0">
      <alignment horizontal="center" vertical="center" shrinkToFit="1"/>
    </xf>
    <xf numFmtId="49" fontId="14" fillId="0" borderId="1" applyAlignment="1" pivotButton="0" quotePrefix="0" xfId="0">
      <alignment horizontal="left" vertical="center" shrinkToFit="1"/>
    </xf>
    <xf numFmtId="164" fontId="18" fillId="0" borderId="1" applyAlignment="1" pivotButton="0" quotePrefix="0" xfId="0">
      <alignment horizontal="center" vertical="center" shrinkToFit="1"/>
    </xf>
    <xf numFmtId="164" fontId="14" fillId="0" borderId="1" applyAlignment="1" pivotButton="0" quotePrefix="0" xfId="0">
      <alignment horizontal="center" vertical="center" shrinkToFit="1"/>
    </xf>
    <xf numFmtId="49" fontId="14" fillId="0" borderId="1" applyAlignment="1" pivotButton="0" quotePrefix="0" xfId="0">
      <alignment horizontal="center" vertical="center"/>
    </xf>
    <xf numFmtId="0" fontId="14" fillId="0" borderId="1" applyAlignment="1" pivotButton="0" quotePrefix="0" xfId="0">
      <alignment horizontal="left" vertical="center"/>
    </xf>
    <xf numFmtId="0" fontId="18" fillId="0" borderId="1" applyAlignment="1" pivotButton="0" quotePrefix="0" xfId="0">
      <alignment horizontal="center" vertical="center"/>
    </xf>
    <xf numFmtId="0" fontId="14" fillId="0" borderId="1" applyAlignment="1" pivotButton="0" quotePrefix="0" xfId="0">
      <alignment horizontal="center" vertical="center"/>
    </xf>
    <xf numFmtId="0" fontId="17" fillId="0" borderId="1" applyAlignment="1" pivotButton="0" quotePrefix="0" xfId="0">
      <alignment horizontal="center" vertical="center"/>
    </xf>
    <xf numFmtId="2" fontId="14" fillId="0" borderId="1" applyAlignment="1" pivotButton="0" quotePrefix="0" xfId="0">
      <alignment horizontal="center" vertical="center"/>
    </xf>
    <xf numFmtId="0" fontId="15" fillId="0" borderId="1" applyAlignment="1" pivotButton="0" quotePrefix="0" xfId="0">
      <alignment horizontal="center" vertical="center"/>
    </xf>
    <xf numFmtId="164" fontId="15" fillId="0" borderId="1" applyAlignment="1" pivotButton="0" quotePrefix="0" xfId="0">
      <alignment horizontal="center" vertical="center"/>
    </xf>
    <xf numFmtId="2" fontId="15" fillId="0" borderId="1" applyAlignment="1" pivotButton="0" quotePrefix="0" xfId="0">
      <alignment horizontal="center" vertical="center"/>
    </xf>
    <xf numFmtId="0" fontId="15" fillId="0" borderId="1" applyAlignment="1" pivotButton="0" quotePrefix="0" xfId="0">
      <alignment horizontal="center" vertical="center"/>
    </xf>
    <xf numFmtId="2" fontId="15" fillId="0" borderId="1" applyAlignment="1" pivotButton="0" quotePrefix="0" xfId="0">
      <alignment horizontal="center" vertical="center" shrinkToFit="1"/>
    </xf>
    <xf numFmtId="0" fontId="12" fillId="0" borderId="0" pivotButton="0" quotePrefix="0" xfId="0"/>
    <xf numFmtId="0" fontId="9" fillId="3" borderId="1" applyAlignment="1" pivotButton="0" quotePrefix="0" xfId="0">
      <alignment horizontal="center" vertical="center"/>
    </xf>
    <xf numFmtId="0" fontId="0" fillId="3" borderId="2" pivotButton="0" quotePrefix="0" xfId="0"/>
    <xf numFmtId="0" fontId="0" fillId="3" borderId="3" pivotButton="0" quotePrefix="0" xfId="0"/>
    <xf numFmtId="0" fontId="9" fillId="3" borderId="1" applyAlignment="1" pivotButton="0" quotePrefix="0" xfId="0">
      <alignment horizontal="center" vertical="center" wrapText="1"/>
    </xf>
    <xf numFmtId="0" fontId="0" fillId="3" borderId="6" pivotButton="0" quotePrefix="0" xfId="0"/>
    <xf numFmtId="0" fontId="20" fillId="4" borderId="1" applyAlignment="1" pivotButton="0" quotePrefix="0" xfId="0">
      <alignment horizontal="center" vertical="center"/>
    </xf>
    <xf numFmtId="2" fontId="20" fillId="4" borderId="1" applyAlignment="1" pivotButton="0" quotePrefix="0" xfId="0">
      <alignment horizontal="center" vertical="center"/>
    </xf>
    <xf numFmtId="0" fontId="20" fillId="4" borderId="1" applyAlignment="1" pivotButton="0" quotePrefix="0" xfId="0">
      <alignment horizontal="center" vertical="center" wrapText="1"/>
    </xf>
    <xf numFmtId="0" fontId="0" fillId="3" borderId="7" pivotButton="0" quotePrefix="0" xfId="0"/>
    <xf numFmtId="0" fontId="0" fillId="3" borderId="9" pivotButton="0" quotePrefix="0" xfId="0"/>
    <xf numFmtId="0" fontId="10" fillId="0" borderId="1" applyAlignment="1" pivotButton="0" quotePrefix="0" xfId="0">
      <alignment horizontal="left" vertical="center"/>
    </xf>
    <xf numFmtId="0" fontId="10" fillId="0" borderId="1" applyAlignment="1" pivotButton="0" quotePrefix="0" xfId="0">
      <alignment horizontal="center" vertical="center"/>
    </xf>
    <xf numFmtId="0" fontId="11" fillId="0" borderId="1" applyAlignment="1" pivotButton="0" quotePrefix="0" xfId="0">
      <alignment horizontal="center" vertical="center"/>
    </xf>
    <xf numFmtId="0" fontId="19" fillId="2" borderId="1" applyAlignment="1" pivotButton="0" quotePrefix="0" xfId="0">
      <alignment horizontal="center" vertical="center"/>
    </xf>
    <xf numFmtId="2" fontId="19" fillId="2" borderId="1" applyAlignment="1" pivotButton="0" quotePrefix="0" xfId="0">
      <alignment horizontal="center" vertical="center"/>
    </xf>
    <xf numFmtId="0" fontId="10" fillId="2" borderId="1" applyAlignment="1" pivotButton="0" quotePrefix="0" xfId="0">
      <alignment horizontal="center" vertical="center"/>
    </xf>
    <xf numFmtId="0" fontId="0" fillId="2" borderId="3" pivotButton="0" quotePrefix="0" xfId="0"/>
    <xf numFmtId="0" fontId="9" fillId="0" borderId="1" applyAlignment="1" pivotButton="0" quotePrefix="0" xfId="0">
      <alignment horizontal="left" vertical="center"/>
    </xf>
    <xf numFmtId="0" fontId="13" fillId="0" borderId="0" applyAlignment="1" pivotButton="0" quotePrefix="0" xfId="0">
      <alignment horizontal="center" vertical="center"/>
    </xf>
    <xf numFmtId="0" fontId="1" fillId="0" borderId="0" applyAlignment="1" pivotButton="0" quotePrefix="0" xfId="0">
      <alignment horizontal="center" vertical="center"/>
    </xf>
    <xf numFmtId="2" fontId="1" fillId="0" borderId="0" applyAlignment="1" pivotButton="0" quotePrefix="0" xfId="0">
      <alignment horizontal="center" vertical="center"/>
    </xf>
    <xf numFmtId="0" fontId="4" fillId="0" borderId="0" applyAlignment="1" pivotButton="0" quotePrefix="0" xfId="0">
      <alignment horizontal="center" vertical="center"/>
    </xf>
    <xf numFmtId="0" fontId="4" fillId="0" borderId="0" applyAlignment="1" pivotButton="0" quotePrefix="0" xfId="0">
      <alignment horizontal="center" vertical="center"/>
    </xf>
    <xf numFmtId="2" fontId="4" fillId="0" borderId="0" applyAlignment="1" pivotButton="0" quotePrefix="0" xfId="0">
      <alignment horizontal="center" vertical="center"/>
    </xf>
    <xf numFmtId="0" fontId="1" fillId="0" borderId="0" applyAlignment="1" pivotButton="0" quotePrefix="0" xfId="0">
      <alignment horizontal="center" vertical="center"/>
    </xf>
    <xf numFmtId="0" fontId="13" fillId="0"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FFCC"/>
      <rgbColor rgb="00CCFFCC"/>
      <rgbColor rgb="0099FFCC"/>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0"/>
  <sheetViews>
    <sheetView tabSelected="1" topLeftCell="A16" workbookViewId="0">
      <selection activeCell="X28" sqref="X28"/>
    </sheetView>
  </sheetViews>
  <sheetFormatPr baseColWidth="8" defaultRowHeight="15.9" customHeight="1"/>
  <cols>
    <col width="3.6640625" customWidth="1" style="12" min="1" max="1"/>
    <col width="12.33203125" customWidth="1" style="12" min="2" max="2"/>
    <col width="5.88671875" customWidth="1" style="12" min="3" max="4"/>
    <col width="7.6640625" customWidth="1" style="11" min="5" max="5"/>
    <col width="5" customWidth="1" style="12" min="6" max="7"/>
    <col width="4" customWidth="1" style="12" min="8" max="8"/>
    <col width="6" customWidth="1" style="12" min="9" max="9"/>
    <col width="7" customWidth="1" style="11" min="10" max="10"/>
    <col width="6" customWidth="1" style="12" min="11" max="11"/>
    <col width="7.109375" customWidth="1" style="12" min="12" max="12"/>
    <col width="7.33203125" customWidth="1" style="11" min="13" max="13"/>
    <col width="6" customWidth="1" style="12" min="14" max="14"/>
    <col width="6.88671875" customWidth="1" style="12" min="15" max="15"/>
    <col width="5.88671875" customWidth="1" style="12" min="16" max="16"/>
    <col width="6.33203125" customWidth="1" style="11" min="17" max="17"/>
    <col width="6" customWidth="1" style="12" min="18" max="19"/>
    <col width="4.5546875" customWidth="1" style="12" min="20" max="20"/>
    <col width="7.6640625" customWidth="1" style="12" min="21" max="21"/>
    <col width="6" customWidth="1" style="11" min="22" max="22"/>
    <col width="7.33203125" customWidth="1" style="12" min="23" max="23"/>
    <col width="8.88671875" customWidth="1" style="10" min="24" max="16384"/>
  </cols>
  <sheetData>
    <row r="1" ht="15.9" customHeight="1" s="10">
      <c r="A1" s="6" t="inlineStr">
        <is>
          <t>Tỉnh: Tuyên Quang</t>
        </is>
      </c>
      <c r="F1" s="9" t="inlineStr">
        <is>
          <t>CỘNG HÒA XÃ HỘI CHỦ NGHĨA VIỆT NAM
Độc lập - Tự do - Hạnh phúc</t>
        </is>
      </c>
    </row>
    <row r="2" ht="15.9" customHeight="1" s="10">
      <c r="A2" s="6" t="inlineStr">
        <is>
          <t>Xã: Hùng Lợi</t>
        </is>
      </c>
    </row>
    <row r="3" ht="15.9" customHeight="1" s="10">
      <c r="A3" s="6" t="inlineStr">
        <is>
          <t>Năm học: 2026- 2027</t>
        </is>
      </c>
    </row>
    <row r="4" ht="15.9" customHeight="1" s="10">
      <c r="E4" s="13" t="n"/>
      <c r="S4" s="14" t="inlineStr">
        <is>
          <t>Mẫu 2. PCGDTHCS</t>
        </is>
      </c>
    </row>
    <row r="5" ht="18" customHeight="1" s="10">
      <c r="B5" s="15" t="n"/>
      <c r="C5" s="15" t="n"/>
      <c r="D5" s="15" t="n"/>
      <c r="E5" s="16" t="n"/>
      <c r="F5" s="17" t="inlineStr">
        <is>
          <t>BIỂU TỔNG HỢP KẾT QUẢ HUY ĐỘNG  PHỔ CẬP GIÁO DỤC TRUNG HỌC CƠ SỞ</t>
        </is>
      </c>
    </row>
    <row r="6" ht="15.9" customHeight="1" s="10">
      <c r="B6" s="18" t="n"/>
      <c r="C6" s="18" t="n"/>
      <c r="D6" s="18" t="n"/>
      <c r="E6" s="19" t="n"/>
      <c r="F6" s="20" t="inlineStr">
        <is>
          <t>Thời điểm điều tra: ngày 10 tháng 10 năm 2025</t>
        </is>
      </c>
    </row>
    <row r="7" ht="15.9" customFormat="1" customHeight="1" s="25">
      <c r="A7" s="45" t="inlineStr">
        <is>
          <t>TT</t>
        </is>
      </c>
      <c r="B7" s="33" t="inlineStr">
        <is>
          <t>Đơn vị</t>
        </is>
      </c>
      <c r="C7" s="45" t="inlineStr">
        <is>
          <t>Huy động</t>
        </is>
      </c>
      <c r="D7" s="23" t="n"/>
      <c r="E7" s="23" t="n"/>
      <c r="F7" s="23" t="n"/>
      <c r="G7" s="23" t="n"/>
      <c r="H7" s="23" t="n"/>
      <c r="I7" s="23" t="n"/>
      <c r="J7" s="24" t="n"/>
      <c r="K7" s="45" t="inlineStr">
        <is>
          <t>Hiệu quả</t>
        </is>
      </c>
      <c r="L7" s="23" t="n"/>
      <c r="M7" s="23" t="n"/>
      <c r="N7" s="23" t="n"/>
      <c r="O7" s="23" t="n"/>
      <c r="P7" s="23" t="n"/>
      <c r="Q7" s="23" t="n"/>
      <c r="R7" s="23" t="n"/>
      <c r="S7" s="23" t="n"/>
      <c r="T7" s="23" t="n"/>
      <c r="U7" s="23" t="n"/>
      <c r="V7" s="24" t="n"/>
      <c r="W7" s="33" t="inlineStr">
        <is>
          <t>Đạt hay chưa đạt PCGD THCS</t>
        </is>
      </c>
    </row>
    <row r="8" ht="15.9" customFormat="1" customHeight="1" s="25">
      <c r="A8" s="26" t="n"/>
      <c r="B8" s="26" t="n"/>
      <c r="C8" s="45" t="inlineStr">
        <is>
          <t>Trẻ 6 tuổi</t>
        </is>
      </c>
      <c r="D8" s="27" t="n"/>
      <c r="E8" s="28" t="n"/>
      <c r="F8" s="45" t="inlineStr">
        <is>
          <t>HS tốt nghiệp TH năm học vừa qua</t>
        </is>
      </c>
      <c r="G8" s="23" t="n"/>
      <c r="H8" s="23" t="n"/>
      <c r="I8" s="23" t="n"/>
      <c r="J8" s="24" t="n"/>
      <c r="K8" s="33" t="inlineStr">
        <is>
          <t>Trẻ độ tuổi 11 - 14</t>
        </is>
      </c>
      <c r="L8" s="27" t="n"/>
      <c r="M8" s="28" t="n"/>
      <c r="N8" s="33" t="inlineStr">
        <is>
          <t>HS lớp 9 năm qua (2 hệ)</t>
        </is>
      </c>
      <c r="O8" s="27" t="n"/>
      <c r="P8" s="27" t="n"/>
      <c r="Q8" s="28" t="n"/>
      <c r="R8" s="45" t="inlineStr">
        <is>
          <t>Đối tượng 15 - 18 tuổi</t>
        </is>
      </c>
      <c r="S8" s="23" t="n"/>
      <c r="T8" s="23" t="n"/>
      <c r="U8" s="23" t="n"/>
      <c r="V8" s="24" t="n"/>
      <c r="W8" s="26" t="n"/>
    </row>
    <row r="9" ht="15.9" customFormat="1" customHeight="1" s="25">
      <c r="A9" s="26" t="n"/>
      <c r="B9" s="26" t="n"/>
      <c r="C9" s="29" t="n"/>
      <c r="D9" s="30" t="n"/>
      <c r="E9" s="31" t="n"/>
      <c r="F9" s="33" t="inlineStr">
        <is>
          <t>TS</t>
        </is>
      </c>
      <c r="G9" s="33" t="inlineStr">
        <is>
          <t>Vào học lớp 6 năm học mới</t>
        </is>
      </c>
      <c r="H9" s="23" t="n"/>
      <c r="I9" s="23" t="n"/>
      <c r="J9" s="24" t="n"/>
      <c r="K9" s="29" t="n"/>
      <c r="L9" s="30" t="n"/>
      <c r="M9" s="31" t="n"/>
      <c r="N9" s="29" t="n"/>
      <c r="O9" s="30" t="n"/>
      <c r="P9" s="30" t="n"/>
      <c r="Q9" s="31" t="n"/>
      <c r="R9" s="33" t="inlineStr">
        <is>
          <t>TS</t>
        </is>
      </c>
      <c r="S9" s="33" t="inlineStr">
        <is>
          <t>Có bằng tốt nghiệp THCS</t>
        </is>
      </c>
      <c r="T9" s="23" t="n"/>
      <c r="U9" s="23" t="n"/>
      <c r="V9" s="24" t="n"/>
      <c r="W9" s="26" t="n"/>
    </row>
    <row r="10" ht="56.25" customFormat="1" customHeight="1" s="25">
      <c r="A10" s="32" t="n"/>
      <c r="B10" s="32" t="n"/>
      <c r="C10" s="33" t="inlineStr">
        <is>
          <t>TS</t>
        </is>
      </c>
      <c r="D10" s="33" t="inlineStr">
        <is>
          <t>Lớp 1</t>
        </is>
      </c>
      <c r="E10" s="34" t="inlineStr">
        <is>
          <t>Tỷ lệ
%</t>
        </is>
      </c>
      <c r="F10" s="32" t="n"/>
      <c r="G10" s="33" t="inlineStr">
        <is>
          <t>PT</t>
        </is>
      </c>
      <c r="H10" s="33" t="inlineStr">
        <is>
          <t>GD
TX</t>
        </is>
      </c>
      <c r="I10" s="33" t="inlineStr">
        <is>
          <t>Cộng</t>
        </is>
      </c>
      <c r="J10" s="34" t="inlineStr">
        <is>
          <t>Tỷ lệ
%</t>
        </is>
      </c>
      <c r="K10" s="33" t="inlineStr">
        <is>
          <t>TS</t>
        </is>
      </c>
      <c r="L10" s="33" t="inlineStr">
        <is>
          <t>HTCT
TH</t>
        </is>
      </c>
      <c r="M10" s="34" t="inlineStr">
        <is>
          <t>Tỷ lệ
%</t>
        </is>
      </c>
      <c r="N10" s="33" t="inlineStr">
        <is>
          <t>TS</t>
        </is>
      </c>
      <c r="O10" s="33" t="inlineStr">
        <is>
          <t>TN THCS</t>
        </is>
      </c>
      <c r="P10" s="33" t="inlineStr">
        <is>
          <t>TN THCS GDTX</t>
        </is>
      </c>
      <c r="Q10" s="34" t="inlineStr">
        <is>
          <t>Tỷ lệ
%</t>
        </is>
      </c>
      <c r="R10" s="32" t="n"/>
      <c r="S10" s="33" t="inlineStr">
        <is>
          <t>PT</t>
        </is>
      </c>
      <c r="T10" s="33" t="inlineStr">
        <is>
          <t>GD
TX</t>
        </is>
      </c>
      <c r="U10" s="33" t="inlineStr">
        <is>
          <t>Cộng</t>
        </is>
      </c>
      <c r="V10" s="34" t="inlineStr">
        <is>
          <t>Tỷ lệ
%</t>
        </is>
      </c>
      <c r="W10" s="32" t="n"/>
    </row>
    <row r="11" ht="15.9" customFormat="1" customHeight="1" s="25">
      <c r="A11" s="35" t="inlineStr">
        <is>
          <t>(1)</t>
        </is>
      </c>
      <c r="B11" s="35" t="inlineStr">
        <is>
          <t>(2)</t>
        </is>
      </c>
      <c r="C11" s="35" t="inlineStr">
        <is>
          <t>(3)</t>
        </is>
      </c>
      <c r="D11" s="35" t="inlineStr">
        <is>
          <t>(4)</t>
        </is>
      </c>
      <c r="E11" s="36" t="inlineStr">
        <is>
          <t>(5)</t>
        </is>
      </c>
      <c r="F11" s="37" t="inlineStr">
        <is>
          <t>(6)</t>
        </is>
      </c>
      <c r="G11" s="37" t="inlineStr">
        <is>
          <t>(7)</t>
        </is>
      </c>
      <c r="H11" s="37" t="inlineStr">
        <is>
          <t>(8)</t>
        </is>
      </c>
      <c r="I11" s="37" t="inlineStr">
        <is>
          <t>(9)</t>
        </is>
      </c>
      <c r="J11" s="36" t="inlineStr">
        <is>
          <t>(10)</t>
        </is>
      </c>
      <c r="K11" s="35" t="inlineStr">
        <is>
          <t>(11)</t>
        </is>
      </c>
      <c r="L11" s="35" t="inlineStr">
        <is>
          <t>(12)</t>
        </is>
      </c>
      <c r="M11" s="36" t="inlineStr">
        <is>
          <t>(13)</t>
        </is>
      </c>
      <c r="N11" s="35" t="inlineStr">
        <is>
          <t>(14)</t>
        </is>
      </c>
      <c r="O11" s="35" t="inlineStr">
        <is>
          <t>(15)</t>
        </is>
      </c>
      <c r="P11" s="35" t="inlineStr">
        <is>
          <t>(16)</t>
        </is>
      </c>
      <c r="Q11" s="36" t="inlineStr">
        <is>
          <t>(17)</t>
        </is>
      </c>
      <c r="R11" s="35" t="inlineStr">
        <is>
          <t>(18)</t>
        </is>
      </c>
      <c r="S11" s="35" t="inlineStr">
        <is>
          <t>(19)</t>
        </is>
      </c>
      <c r="T11" s="35" t="inlineStr">
        <is>
          <t>(20)</t>
        </is>
      </c>
      <c r="U11" s="35" t="inlineStr">
        <is>
          <t>(21)</t>
        </is>
      </c>
      <c r="V11" s="36" t="inlineStr">
        <is>
          <t>(22)</t>
        </is>
      </c>
      <c r="W11" s="35" t="inlineStr">
        <is>
          <t>(23)</t>
        </is>
      </c>
    </row>
    <row r="12" ht="14.1" customFormat="1" customHeight="1" s="25">
      <c r="A12" s="38" t="n">
        <v>1</v>
      </c>
      <c r="B12" s="39" t="inlineStr">
        <is>
          <t>Tấu Lìn</t>
        </is>
      </c>
      <c r="C12" s="40" t="n">
        <v>1</v>
      </c>
      <c r="D12" s="40" t="n">
        <v>1</v>
      </c>
      <c r="E12" s="36" t="n">
        <v>100</v>
      </c>
      <c r="F12" s="40" t="n">
        <v>0</v>
      </c>
      <c r="G12" s="40" t="n">
        <v>0</v>
      </c>
      <c r="H12" s="40" t="n">
        <v>0</v>
      </c>
      <c r="I12" s="40" t="n">
        <v>0</v>
      </c>
      <c r="J12" s="36" t="n">
        <v>0</v>
      </c>
      <c r="K12" s="40" t="n">
        <v>14</v>
      </c>
      <c r="L12" s="40" t="n">
        <v>12</v>
      </c>
      <c r="M12" s="36" t="n">
        <v>85.7</v>
      </c>
      <c r="N12" s="40" t="n">
        <v>1</v>
      </c>
      <c r="O12" s="40" t="n">
        <v>1</v>
      </c>
      <c r="P12" s="41" t="n">
        <v>0</v>
      </c>
      <c r="Q12" s="36" t="n">
        <v>100</v>
      </c>
      <c r="R12" s="41" t="n">
        <v>9</v>
      </c>
      <c r="S12" s="41" t="n">
        <v>7</v>
      </c>
      <c r="T12" s="41" t="n">
        <v>0</v>
      </c>
      <c r="U12" s="41" t="n">
        <v>7</v>
      </c>
      <c r="V12" s="36" t="n">
        <v>77.8</v>
      </c>
      <c r="W12" s="42">
        <f>IF(B12&lt;&gt;"", IF(AND(IF(C12&gt;0, E12&gt;=IF(ISNUMBER(N$25), IF(N$25&lt;=1, N$25*100, N$25), VALUE(SUBSTITUTE(N$25, "%", ""))), TRUE), IF(K12&gt;0, M12&gt;=IF(ISNUMBER(N$26), IF(N$26&lt;=1, N$26*100, N$26), VALUE(SUBSTITUTE(N$26, "%", ""))), TRUE), IF(F12&gt;0, J12&gt;=IF(ISNUMBER(N$27), IF(N$27&lt;=1, N$27*100, N$27), VALUE(SUBSTITUTE(N$27, "%", ""))), TRUE), IF(N12&gt;0, Q12&gt;=IF(ISNUMBER(N$28), IF(N$28&lt;=1, N$28*100, N$28), VALUE(SUBSTITUTE(N$28, "%", ""))), TRUE), IF(R12&gt;0, V12&gt;=IF(ISNUMBER(N$29), IF(N$29&lt;=1, N$29*100, N$29), VALUE(SUBSTITUTE(N$29, "%", ""))), TRUE)), "Đạt", "Chưa đạt"), "")</f>
        <v/>
      </c>
    </row>
    <row r="13" ht="14.1" customFormat="1" customHeight="1" s="25">
      <c r="A13" s="38" t="n">
        <v>2</v>
      </c>
      <c r="B13" s="39" t="inlineStr">
        <is>
          <t>Thôn Tấu Lìn, xã Hùng Lợi</t>
        </is>
      </c>
      <c r="C13" s="40" t="n">
        <v>1</v>
      </c>
      <c r="D13" s="40" t="n">
        <v>1</v>
      </c>
      <c r="E13" s="36" t="n">
        <v>100</v>
      </c>
      <c r="F13" s="40" t="n">
        <v>0</v>
      </c>
      <c r="G13" s="40" t="n">
        <v>0</v>
      </c>
      <c r="H13" s="40" t="n">
        <v>0</v>
      </c>
      <c r="I13" s="40" t="n">
        <v>0</v>
      </c>
      <c r="J13" s="36" t="n">
        <v>0</v>
      </c>
      <c r="K13" s="40" t="n">
        <v>3</v>
      </c>
      <c r="L13" s="40" t="n">
        <v>3</v>
      </c>
      <c r="M13" s="36" t="n">
        <v>100</v>
      </c>
      <c r="N13" s="40" t="n">
        <v>0</v>
      </c>
      <c r="O13" s="40" t="n">
        <v>0</v>
      </c>
      <c r="P13" s="41" t="n">
        <v>0</v>
      </c>
      <c r="Q13" s="36" t="n">
        <v>0</v>
      </c>
      <c r="R13" s="41" t="n">
        <v>0</v>
      </c>
      <c r="S13" s="41" t="n">
        <v>0</v>
      </c>
      <c r="T13" s="41" t="n">
        <v>0</v>
      </c>
      <c r="U13" s="41" t="n">
        <v>0</v>
      </c>
      <c r="V13" s="36" t="n">
        <v>0</v>
      </c>
      <c r="W13" s="42">
        <f>IF(B13&lt;&gt;"", IF(AND(IF(C13&gt;0, E13&gt;=IF(ISNUMBER(N$25), IF(N$25&lt;=1, N$25*100, N$25), VALUE(SUBSTITUTE(N$25, "%", ""))), TRUE), IF(K13&gt;0, M13&gt;=IF(ISNUMBER(N$26), IF(N$26&lt;=1, N$26*100, N$26), VALUE(SUBSTITUTE(N$26, "%", ""))), TRUE), IF(F13&gt;0, J13&gt;=IF(ISNUMBER(N$27), IF(N$27&lt;=1, N$27*100, N$27), VALUE(SUBSTITUTE(N$27, "%", ""))), TRUE), IF(N13&gt;0, Q13&gt;=IF(ISNUMBER(N$28), IF(N$28&lt;=1, N$28*100, N$28), VALUE(SUBSTITUTE(N$28, "%", ""))), TRUE), IF(R13&gt;0, V13&gt;=IF(ISNUMBER(N$29), IF(N$29&lt;=1, N$29*100, N$29), VALUE(SUBSTITUTE(N$29, "%", ""))), TRUE)), "Đạt", "Chưa đạt"), "")</f>
        <v/>
      </c>
    </row>
    <row r="14" ht="14.1" customFormat="1" customHeight="1" s="25">
      <c r="A14" s="38" t="n"/>
      <c r="B14" s="39" t="n"/>
      <c r="C14" s="40" t="n"/>
      <c r="D14" s="40" t="n"/>
      <c r="E14" s="36" t="n"/>
      <c r="F14" s="40" t="n"/>
      <c r="G14" s="40" t="n"/>
      <c r="H14" s="40" t="n"/>
      <c r="I14" s="40" t="n"/>
      <c r="J14" s="36" t="n"/>
      <c r="K14" s="40" t="n"/>
      <c r="L14" s="40" t="n"/>
      <c r="M14" s="36" t="n"/>
      <c r="N14" s="40" t="n"/>
      <c r="O14" s="40" t="n"/>
      <c r="P14" s="41" t="n"/>
      <c r="Q14" s="36" t="n"/>
      <c r="R14" s="41" t="n"/>
      <c r="S14" s="41" t="n"/>
      <c r="T14" s="41" t="n"/>
      <c r="U14" s="41" t="n"/>
      <c r="V14" s="36" t="n"/>
      <c r="W14" s="42">
        <f>IF(B14&lt;&gt;"", IF(AND(IF(C14&gt;0, E14&gt;=IF(ISNUMBER(N$25), IF(N$25&lt;=1, N$25*100, N$25), VALUE(SUBSTITUTE(N$25, "%", ""))), TRUE), IF(K14&gt;0, M14&gt;=IF(ISNUMBER(N$26), IF(N$26&lt;=1, N$26*100, N$26), VALUE(SUBSTITUTE(N$26, "%", ""))), TRUE), IF(F14&gt;0, J14&gt;=IF(ISNUMBER(N$27), IF(N$27&lt;=1, N$27*100, N$27), VALUE(SUBSTITUTE(N$27, "%", ""))), TRUE), IF(N14&gt;0, Q14&gt;=IF(ISNUMBER(N$28), IF(N$28&lt;=1, N$28*100, N$28), VALUE(SUBSTITUTE(N$28, "%", ""))), TRUE), IF(R14&gt;0, V14&gt;=IF(ISNUMBER(N$29), IF(N$29&lt;=1, N$29*100, N$29), VALUE(SUBSTITUTE(N$29, "%", ""))), TRUE)), "Đạt", "Chưa đạt"), "")</f>
        <v/>
      </c>
    </row>
    <row r="15" ht="14.1" customFormat="1" customHeight="1" s="25">
      <c r="A15" s="38" t="n"/>
      <c r="B15" s="39" t="n"/>
      <c r="C15" s="40" t="n"/>
      <c r="D15" s="40" t="n"/>
      <c r="E15" s="36" t="n"/>
      <c r="F15" s="40" t="n"/>
      <c r="G15" s="40" t="n"/>
      <c r="H15" s="40" t="n"/>
      <c r="I15" s="40" t="n"/>
      <c r="J15" s="36" t="n"/>
      <c r="K15" s="40" t="n"/>
      <c r="L15" s="40" t="n"/>
      <c r="M15" s="36" t="n"/>
      <c r="N15" s="40" t="n"/>
      <c r="O15" s="40" t="n"/>
      <c r="P15" s="41" t="n"/>
      <c r="Q15" s="36" t="n"/>
      <c r="R15" s="41" t="n"/>
      <c r="S15" s="41" t="n"/>
      <c r="T15" s="41" t="n"/>
      <c r="U15" s="41" t="n"/>
      <c r="V15" s="36" t="n"/>
      <c r="W15" s="42">
        <f>IF(B15&lt;&gt;"", IF(AND(IF(C15&gt;0, E15&gt;=IF(ISNUMBER(N$25), IF(N$25&lt;=1, N$25*100, N$25), VALUE(SUBSTITUTE(N$25, "%", ""))), TRUE), IF(K15&gt;0, M15&gt;=IF(ISNUMBER(N$26), IF(N$26&lt;=1, N$26*100, N$26), VALUE(SUBSTITUTE(N$26, "%", ""))), TRUE), IF(F15&gt;0, J15&gt;=IF(ISNUMBER(N$27), IF(N$27&lt;=1, N$27*100, N$27), VALUE(SUBSTITUTE(N$27, "%", ""))), TRUE), IF(N15&gt;0, Q15&gt;=IF(ISNUMBER(N$28), IF(N$28&lt;=1, N$28*100, N$28), VALUE(SUBSTITUTE(N$28, "%", ""))), TRUE), IF(R15&gt;0, V15&gt;=IF(ISNUMBER(N$29), IF(N$29&lt;=1, N$29*100, N$29), VALUE(SUBSTITUTE(N$29, "%", ""))), TRUE)), "Đạt", "Chưa đạt"), "")</f>
        <v/>
      </c>
    </row>
    <row r="16" ht="14.1" customFormat="1" customHeight="1" s="25">
      <c r="A16" s="38" t="n"/>
      <c r="B16" s="39" t="n"/>
      <c r="C16" s="40" t="n"/>
      <c r="D16" s="40" t="n"/>
      <c r="E16" s="36" t="n"/>
      <c r="F16" s="40" t="n"/>
      <c r="G16" s="40" t="n"/>
      <c r="H16" s="40" t="n"/>
      <c r="I16" s="40" t="n"/>
      <c r="J16" s="36" t="n"/>
      <c r="K16" s="40" t="n"/>
      <c r="L16" s="40" t="n"/>
      <c r="M16" s="36" t="n"/>
      <c r="N16" s="40" t="n"/>
      <c r="O16" s="40" t="n"/>
      <c r="P16" s="41" t="n"/>
      <c r="Q16" s="36" t="n"/>
      <c r="R16" s="41" t="n"/>
      <c r="S16" s="41" t="n"/>
      <c r="T16" s="41" t="n"/>
      <c r="U16" s="41" t="n"/>
      <c r="V16" s="36" t="n"/>
      <c r="W16" s="42">
        <f>IF(B16&lt;&gt;"", IF(AND(IF(C16&gt;0, E16&gt;=IF(ISNUMBER(N$25), IF(N$25&lt;=1, N$25*100, N$25), VALUE(SUBSTITUTE(N$25, "%", ""))), TRUE), IF(K16&gt;0, M16&gt;=IF(ISNUMBER(N$26), IF(N$26&lt;=1, N$26*100, N$26), VALUE(SUBSTITUTE(N$26, "%", ""))), TRUE), IF(F16&gt;0, J16&gt;=IF(ISNUMBER(N$27), IF(N$27&lt;=1, N$27*100, N$27), VALUE(SUBSTITUTE(N$27, "%", ""))), TRUE), IF(N16&gt;0, Q16&gt;=IF(ISNUMBER(N$28), IF(N$28&lt;=1, N$28*100, N$28), VALUE(SUBSTITUTE(N$28, "%", ""))), TRUE), IF(R16&gt;0, V16&gt;=IF(ISNUMBER(N$29), IF(N$29&lt;=1, N$29*100, N$29), VALUE(SUBSTITUTE(N$29, "%", ""))), TRUE)), "Đạt", "Chưa đạt"), "")</f>
        <v/>
      </c>
    </row>
    <row r="17" ht="14.1" customFormat="1" customHeight="1" s="25">
      <c r="A17" s="38" t="n"/>
      <c r="B17" s="39" t="n"/>
      <c r="C17" s="40" t="n"/>
      <c r="D17" s="40" t="n"/>
      <c r="E17" s="36" t="n"/>
      <c r="F17" s="40" t="n"/>
      <c r="G17" s="40" t="n"/>
      <c r="H17" s="40" t="n"/>
      <c r="I17" s="40" t="n"/>
      <c r="J17" s="36" t="n"/>
      <c r="K17" s="40" t="n"/>
      <c r="L17" s="40" t="n"/>
      <c r="M17" s="36" t="n"/>
      <c r="N17" s="40" t="n"/>
      <c r="O17" s="40" t="n"/>
      <c r="P17" s="41" t="n"/>
      <c r="Q17" s="36" t="n"/>
      <c r="R17" s="41" t="n"/>
      <c r="S17" s="41" t="n"/>
      <c r="T17" s="41" t="n"/>
      <c r="U17" s="41" t="n"/>
      <c r="V17" s="36" t="n"/>
      <c r="W17" s="42">
        <f>IF(B17&lt;&gt;"", IF(AND(IF(C17&gt;0, E17&gt;=IF(ISNUMBER(N$25), IF(N$25&lt;=1, N$25*100, N$25), VALUE(SUBSTITUTE(N$25, "%", ""))), TRUE), IF(K17&gt;0, M17&gt;=IF(ISNUMBER(N$26), IF(N$26&lt;=1, N$26*100, N$26), VALUE(SUBSTITUTE(N$26, "%", ""))), TRUE), IF(F17&gt;0, J17&gt;=IF(ISNUMBER(N$27), IF(N$27&lt;=1, N$27*100, N$27), VALUE(SUBSTITUTE(N$27, "%", ""))), TRUE), IF(N17&gt;0, Q17&gt;=IF(ISNUMBER(N$28), IF(N$28&lt;=1, N$28*100, N$28), VALUE(SUBSTITUTE(N$28, "%", ""))), TRUE), IF(R17&gt;0, V17&gt;=IF(ISNUMBER(N$29), IF(N$29&lt;=1, N$29*100, N$29), VALUE(SUBSTITUTE(N$29, "%", ""))), TRUE)), "Đạt", "Chưa đạt"), "")</f>
        <v/>
      </c>
    </row>
    <row r="18" ht="15.9" customFormat="1" customHeight="1" s="25">
      <c r="A18" s="42" t="n">
        <v>7</v>
      </c>
      <c r="B18" s="43" t="n"/>
      <c r="C18" s="44" t="n"/>
      <c r="D18" s="44" t="n"/>
      <c r="E18" s="36" t="n"/>
      <c r="F18" s="44" t="n"/>
      <c r="G18" s="44" t="n"/>
      <c r="H18" s="44" t="n"/>
      <c r="I18" s="44" t="n"/>
      <c r="J18" s="45" t="n"/>
      <c r="K18" s="44" t="n"/>
      <c r="L18" s="44" t="n"/>
      <c r="M18" s="45" t="n"/>
      <c r="N18" s="44" t="n"/>
      <c r="O18" s="44" t="n"/>
      <c r="P18" s="45" t="n"/>
      <c r="Q18" s="36" t="n"/>
      <c r="R18" s="45" t="n"/>
      <c r="S18" s="45" t="n"/>
      <c r="T18" s="45" t="n"/>
      <c r="U18" s="45" t="n"/>
      <c r="V18" s="36" t="n"/>
      <c r="W18" s="45">
        <f>IF(B18&lt;&gt;"", IF(AND(IF(C18&gt;0, E18&gt;=IF(ISNUMBER(N$25), IF(N$25&lt;=1, N$25*100, N$25), VALUE(SUBSTITUTE(N$25, "%", ""))), TRUE), IF(K18&gt;0, M18&gt;=IF(ISNUMBER(N$26), IF(N$26&lt;=1, N$26*100, N$26), VALUE(SUBSTITUTE(N$26, "%", ""))), TRUE), IF(F18&gt;0, J18&gt;=IF(ISNUMBER(N$27), IF(N$27&lt;=1, N$27*100, N$27), VALUE(SUBSTITUTE(N$27, "%", ""))), TRUE), IF(N18&gt;0, Q18&gt;=IF(ISNUMBER(N$28), IF(N$28&lt;=1, N$28*100, N$28), VALUE(SUBSTITUTE(N$28, "%", ""))), TRUE), IF(R18&gt;0, V18&gt;=IF(ISNUMBER(N$29), IF(N$29&lt;=1, N$29*100, N$29), VALUE(SUBSTITUTE(N$29, "%", ""))), TRUE)), "Đạt", "Chưa đạt"), "")</f>
        <v/>
      </c>
    </row>
    <row r="19" ht="15.9" customFormat="1" customHeight="1" s="25">
      <c r="A19" s="45" t="n">
        <v>8</v>
      </c>
      <c r="B19" s="43" t="n"/>
      <c r="C19" s="46" t="n"/>
      <c r="D19" s="46" t="n"/>
      <c r="E19" s="36" t="n"/>
      <c r="F19" s="44" t="n"/>
      <c r="G19" s="44" t="n"/>
      <c r="H19" s="44" t="n"/>
      <c r="I19" s="44" t="n"/>
      <c r="J19" s="47" t="n"/>
      <c r="K19" s="44" t="n"/>
      <c r="L19" s="44" t="n"/>
      <c r="M19" s="47" t="n"/>
      <c r="N19" s="44" t="n"/>
      <c r="O19" s="44" t="n"/>
      <c r="P19" s="45" t="n"/>
      <c r="Q19" s="36" t="n"/>
      <c r="R19" s="45" t="n"/>
      <c r="S19" s="45" t="n"/>
      <c r="T19" s="45" t="n"/>
      <c r="U19" s="45" t="n"/>
      <c r="V19" s="36" t="n"/>
      <c r="W19" s="45">
        <f>IF(B19&lt;&gt;"", IF(AND(IF(C19&gt;0, E19&gt;=IF(ISNUMBER(N$25), IF(N$25&lt;=1, N$25*100, N$25), VALUE(SUBSTITUTE(N$25, "%", ""))), TRUE), IF(K19&gt;0, M19&gt;=IF(ISNUMBER(N$26), IF(N$26&lt;=1, N$26*100, N$26), VALUE(SUBSTITUTE(N$26, "%", ""))), TRUE), IF(F19&gt;0, J19&gt;=IF(ISNUMBER(N$27), IF(N$27&lt;=1, N$27*100, N$27), VALUE(SUBSTITUTE(N$27, "%", ""))), TRUE), IF(N19&gt;0, Q19&gt;=IF(ISNUMBER(N$28), IF(N$28&lt;=1, N$28*100, N$28), VALUE(SUBSTITUTE(N$28, "%", ""))), TRUE), IF(R19&gt;0, V19&gt;=IF(ISNUMBER(N$29), IF(N$29&lt;=1, N$29*100, N$29), VALUE(SUBSTITUTE(N$29, "%", ""))), TRUE)), "Đạt", "Chưa đạt"), "")</f>
        <v/>
      </c>
    </row>
    <row r="20" ht="15.9" customFormat="1" customHeight="1" s="53">
      <c r="A20" s="51" t="inlineStr">
        <is>
          <t>Tổng</t>
        </is>
      </c>
      <c r="B20" s="24" t="n"/>
      <c r="C20" s="49">
        <f>SUM(C12:C19)</f>
        <v/>
      </c>
      <c r="D20" s="49">
        <f>SUM(D12:D19)</f>
        <v/>
      </c>
      <c r="E20" s="50">
        <f>IF(C20&gt;0, ROUND(D20/C20*100, 1), 0)</f>
        <v/>
      </c>
      <c r="F20" s="49">
        <f>SUM(F12:F19)</f>
        <v/>
      </c>
      <c r="G20" s="49">
        <f>SUM(G12:G19)</f>
        <v/>
      </c>
      <c r="H20" s="51">
        <f>SUM(H12:H19)</f>
        <v/>
      </c>
      <c r="I20" s="49">
        <f>SUM(I12:I19)</f>
        <v/>
      </c>
      <c r="J20" s="50">
        <f>IF(F20&gt;0, ROUND(I20/F20*100, 1), 0)</f>
        <v/>
      </c>
      <c r="K20" s="49">
        <f>SUM(K12:K19)</f>
        <v/>
      </c>
      <c r="L20" s="49">
        <f>SUM(L12:L19)</f>
        <v/>
      </c>
      <c r="M20" s="50">
        <f>IF(K20&gt;0, ROUND(L20/K20*100, 1), 0)</f>
        <v/>
      </c>
      <c r="N20" s="49">
        <f>SUM(N12:N19)</f>
        <v/>
      </c>
      <c r="O20" s="49">
        <f>SUM(O12:O19)</f>
        <v/>
      </c>
      <c r="P20" s="51">
        <f>SUM(P12:P19)</f>
        <v/>
      </c>
      <c r="Q20" s="50">
        <f>IF(N20&gt;0, ROUND((O20+P20)/N20*100, 1), 0)</f>
        <v/>
      </c>
      <c r="R20" s="49">
        <f>SUM(R12:R19)</f>
        <v/>
      </c>
      <c r="S20" s="49">
        <f>SUM(S12:S19)</f>
        <v/>
      </c>
      <c r="T20" s="51">
        <f>SUM(T12:T19)</f>
        <v/>
      </c>
      <c r="U20" s="49">
        <f>SUM(U12:U19)</f>
        <v/>
      </c>
      <c r="V20" s="52">
        <f>IF(R20&gt;0, ROUND(U20/R20*100, 1), 0)</f>
        <v/>
      </c>
      <c r="W20" s="51">
        <f>IF(COUNTIF(P25:P29, "Đạt")=5, "Đạt", "Chưa đạt")</f>
        <v/>
      </c>
    </row>
    <row r="22" ht="15.9" customHeight="1" s="10">
      <c r="B22" s="54" t="inlineStr">
        <is>
          <t>Bảng thống kê số liệu và so sánh với tiêu chuẩn của bộ để đưa ra kết quả đánh giá đạt/chưa đạt</t>
        </is>
      </c>
      <c r="C22" s="23" t="n"/>
      <c r="D22" s="23" t="n"/>
      <c r="E22" s="23" t="n"/>
      <c r="F22" s="23" t="n"/>
      <c r="G22" s="23" t="n"/>
      <c r="H22" s="23" t="n"/>
      <c r="I22" s="23" t="n"/>
      <c r="J22" s="23" t="n"/>
      <c r="K22" s="23" t="n"/>
      <c r="L22" s="23" t="n"/>
      <c r="M22" s="23" t="n"/>
      <c r="N22" s="23" t="n"/>
      <c r="O22" s="23" t="n"/>
      <c r="P22" s="23" t="n"/>
      <c r="Q22" s="24" t="n"/>
    </row>
    <row r="23" ht="35.1" customHeight="1" s="10">
      <c r="B23" s="54" t="inlineStr">
        <is>
          <t>Số liệu thực tế của xã</t>
        </is>
      </c>
      <c r="C23" s="23" t="n"/>
      <c r="D23" s="23" t="n"/>
      <c r="E23" s="23" t="n"/>
      <c r="F23" s="23" t="n"/>
      <c r="G23" s="23" t="n"/>
      <c r="H23" s="23" t="n"/>
      <c r="I23" s="23" t="n"/>
      <c r="J23" s="23" t="n"/>
      <c r="K23" s="24" t="n"/>
      <c r="L23" s="57" t="inlineStr">
        <is>
          <t>Chỉ tiêu đánh giá đạt chuẩn của bộ làm cơ sở so sánh</t>
        </is>
      </c>
      <c r="M23" s="23" t="n"/>
      <c r="N23" s="23" t="n"/>
      <c r="O23" s="24" t="n"/>
      <c r="P23" s="57" t="inlineStr">
        <is>
          <t>Kết quả đánh giá đạt hay hưa đạt PCGD THCS của xã</t>
        </is>
      </c>
      <c r="Q23" s="28" t="n"/>
    </row>
    <row r="24" ht="35.1" customHeight="1" s="10">
      <c r="B24" s="54" t="inlineStr">
        <is>
          <t>Tính các chỉ tiêu (theo tiêu chuẩn đánh giá)</t>
        </is>
      </c>
      <c r="C24" s="23" t="n"/>
      <c r="D24" s="23" t="n"/>
      <c r="E24" s="23" t="n"/>
      <c r="F24" s="23" t="n"/>
      <c r="G24" s="23" t="n"/>
      <c r="H24" s="24" t="n"/>
      <c r="I24" s="59" t="inlineStr">
        <is>
          <t>Tỉ số</t>
        </is>
      </c>
      <c r="J24" s="24" t="n"/>
      <c r="K24" s="61" t="inlineStr">
        <is>
          <t>Tỷ lệ (%)</t>
        </is>
      </c>
      <c r="L24" s="57" t="inlineStr">
        <is>
          <t>Không thuộc KK, ĐBKK</t>
        </is>
      </c>
      <c r="M24" s="24" t="n"/>
      <c r="N24" s="57" t="inlineStr">
        <is>
          <t>Vùng KK, ĐBKK</t>
        </is>
      </c>
      <c r="O24" s="24" t="n"/>
      <c r="P24" s="29" t="n"/>
      <c r="Q24" s="31" t="n"/>
    </row>
    <row r="25" ht="15.9" customHeight="1" s="10">
      <c r="B25" s="64" t="inlineStr">
        <is>
          <t>- Tỷ lệ % trẻ 6 tuổi vào học lớp 1:</t>
        </is>
      </c>
      <c r="C25" s="23" t="n"/>
      <c r="D25" s="23" t="n"/>
      <c r="E25" s="23" t="n"/>
      <c r="F25" s="23" t="n"/>
      <c r="G25" s="23" t="n"/>
      <c r="H25" s="24" t="n"/>
      <c r="I25" s="65">
        <f>IF(C20&gt;0, D20&amp;"/"&amp;C20, "0/0")</f>
        <v/>
      </c>
      <c r="J25" s="24" t="n"/>
      <c r="K25" s="66">
        <f>IF(C20&gt;0, ROUND(D20/C20*100, 1), 0)</f>
        <v/>
      </c>
      <c r="L25" s="67" t="inlineStr">
        <is>
          <t>90%</t>
        </is>
      </c>
      <c r="M25" s="24" t="n"/>
      <c r="N25" s="67" t="inlineStr">
        <is>
          <t>80%</t>
        </is>
      </c>
      <c r="O25" s="24" t="n"/>
      <c r="P25" s="69">
        <f>IF(K25&gt;=IF(ISNUMBER(N25), IF(N25&lt;=1, N25*100, N25), VALUE(SUBSTITUTE(N25, "%", ""))), "Đạt", "Chưa đạt")</f>
        <v/>
      </c>
      <c r="Q25" s="24" t="n"/>
    </row>
    <row r="26" ht="15.9" customHeight="1" s="10">
      <c r="B26" s="64" t="inlineStr">
        <is>
          <t>- Tỷ lệ % trẻ (11-14) tuổi hoàn thành chương trình tiểu học:</t>
        </is>
      </c>
      <c r="C26" s="23" t="n"/>
      <c r="D26" s="23" t="n"/>
      <c r="E26" s="23" t="n"/>
      <c r="F26" s="23" t="n"/>
      <c r="G26" s="23" t="n"/>
      <c r="H26" s="24" t="n"/>
      <c r="I26" s="65">
        <f>IF(K20&gt;0, L20&amp;"/"&amp;K20, "0/0")</f>
        <v/>
      </c>
      <c r="J26" s="24" t="n"/>
      <c r="K26" s="66">
        <f>IF(K20&gt;0, ROUND(L20/K20*100, 1), 0)</f>
        <v/>
      </c>
      <c r="L26" s="67" t="inlineStr">
        <is>
          <t>80%</t>
        </is>
      </c>
      <c r="M26" s="24" t="n"/>
      <c r="N26" s="67" t="inlineStr">
        <is>
          <t>70%</t>
        </is>
      </c>
      <c r="O26" s="24" t="n"/>
      <c r="P26" s="69">
        <f>IF(K26&gt;=IF(ISNUMBER(N26), IF(N26&lt;=1, N26*100, N26), VALUE(SUBSTITUTE(N26, "%", ""))), "Đạt", "Chưa đạt")</f>
        <v/>
      </c>
      <c r="Q26" s="24" t="n"/>
    </row>
    <row r="27" ht="15.9" customHeight="1" s="10">
      <c r="B27" s="64" t="inlineStr">
        <is>
          <t>- Tỷ lệ % HS tốt nghiệp hoàn thành chương trình vào học lớp 6 (2 hệ):</t>
        </is>
      </c>
      <c r="C27" s="23" t="n"/>
      <c r="D27" s="23" t="n"/>
      <c r="E27" s="23" t="n"/>
      <c r="F27" s="23" t="n"/>
      <c r="G27" s="23" t="n"/>
      <c r="H27" s="24" t="n"/>
      <c r="I27" s="65">
        <f>IF(F20&gt;0, I20&amp;"/"&amp;F20, "0/0")</f>
        <v/>
      </c>
      <c r="J27" s="24" t="n"/>
      <c r="K27" s="66">
        <f>IF(F20&gt;0, ROUND(I20/F20*100, 1), 0)</f>
        <v/>
      </c>
      <c r="L27" s="67" t="inlineStr">
        <is>
          <t>95%</t>
        </is>
      </c>
      <c r="M27" s="24" t="n"/>
      <c r="N27" s="67" t="inlineStr">
        <is>
          <t>80%</t>
        </is>
      </c>
      <c r="O27" s="24" t="n"/>
      <c r="P27" s="69">
        <f>IF(K27&gt;=IF(ISNUMBER(N27), IF(N27&lt;=1, N27*100, N27), VALUE(SUBSTITUTE(N27, "%", ""))), "Đạt", "Chưa đạt")</f>
        <v/>
      </c>
      <c r="Q27" s="24" t="n"/>
    </row>
    <row r="28" ht="15.9" customHeight="1" s="10">
      <c r="B28" s="64" t="inlineStr">
        <is>
          <t>- Tỷ lệ % HS TN THCS (2 hệ) năm học (vừa qua):</t>
        </is>
      </c>
      <c r="C28" s="23" t="n"/>
      <c r="D28" s="23" t="n"/>
      <c r="E28" s="23" t="n"/>
      <c r="F28" s="23" t="n"/>
      <c r="G28" s="23" t="n"/>
      <c r="H28" s="24" t="n"/>
      <c r="I28" s="65">
        <f>IF(N20&gt;0, (O20+P20)&amp;"/"&amp;N20, "0/0")</f>
        <v/>
      </c>
      <c r="J28" s="24" t="n"/>
      <c r="K28" s="66">
        <f>IF(N20&gt;0, ROUND((O20+P20)/N20*100, 1), 0)</f>
        <v/>
      </c>
      <c r="L28" s="67" t="inlineStr">
        <is>
          <t>90%</t>
        </is>
      </c>
      <c r="M28" s="24" t="n"/>
      <c r="N28" s="67" t="inlineStr">
        <is>
          <t>75%</t>
        </is>
      </c>
      <c r="O28" s="24" t="n"/>
      <c r="P28" s="69">
        <f>IF(K28&gt;=IF(ISNUMBER(N28), IF(N28&lt;=1, N28*100, N28), VALUE(SUBSTITUTE(N28, "%", ""))), "Đạt", "Chưa đạt")</f>
        <v/>
      </c>
      <c r="Q28" s="24" t="n"/>
    </row>
    <row r="29" ht="15.9" customHeight="1" s="10">
      <c r="B29" s="64" t="inlineStr">
        <is>
          <t>- Tỷ lệ % thanh thiếu niên (15-18) tuổi TN.THCS (2 hệ):</t>
        </is>
      </c>
      <c r="C29" s="23" t="n"/>
      <c r="D29" s="23" t="n"/>
      <c r="E29" s="23" t="n"/>
      <c r="F29" s="23" t="n"/>
      <c r="G29" s="23" t="n"/>
      <c r="H29" s="24" t="n"/>
      <c r="I29" s="65">
        <f>IF(R20&gt;0, U20&amp;"/"&amp;R20, "0/0")</f>
        <v/>
      </c>
      <c r="J29" s="24" t="n"/>
      <c r="K29" s="66">
        <f>IF(R20&gt;0, ROUND(U20/R20*100, 1), 0)</f>
        <v/>
      </c>
      <c r="L29" s="67" t="inlineStr">
        <is>
          <t>80%</t>
        </is>
      </c>
      <c r="M29" s="24" t="n"/>
      <c r="N29" s="67" t="inlineStr">
        <is>
          <t>70%</t>
        </is>
      </c>
      <c r="O29" s="24" t="n"/>
      <c r="P29" s="69">
        <f>IF(K29&gt;=IF(ISNUMBER(N29), IF(N29&lt;=1, N29*100, N29), VALUE(SUBSTITUTE(N29, "%", ""))), "Đạt", "Chưa đạt")</f>
        <v/>
      </c>
      <c r="Q29" s="24" t="n"/>
    </row>
    <row r="30" ht="15.9" customHeight="1" s="10">
      <c r="B30" s="71" t="inlineStr">
        <is>
          <t>Đơn vị thuộc Vùng điều kiện kinh tế/ Kết quả đánh giá</t>
        </is>
      </c>
      <c r="C30" s="23" t="n"/>
      <c r="D30" s="23" t="n"/>
      <c r="E30" s="23" t="n"/>
      <c r="F30" s="23" t="n"/>
      <c r="G30" s="23" t="n"/>
      <c r="H30" s="23" t="n"/>
      <c r="I30" s="23" t="n"/>
      <c r="J30" s="23" t="n"/>
      <c r="K30" s="24" t="n"/>
      <c r="L30" s="69" t="n"/>
      <c r="M30" s="24" t="n"/>
      <c r="N30" s="69" t="inlineStr">
        <is>
          <t>x</t>
        </is>
      </c>
      <c r="O30" s="24" t="n"/>
      <c r="P30" s="69">
        <f>IF(COUNTIF(P25:P29, "Đạt")=5, "Đạt", "Chưa đạt")</f>
        <v/>
      </c>
      <c r="Q30" s="24" t="n"/>
    </row>
    <row r="32" ht="15.9" customHeight="1" s="10">
      <c r="O32" s="72" t="inlineStr">
        <is>
          <t>Hùng Lợi, Ngày …. tháng …. năm ….</t>
        </is>
      </c>
      <c r="U32" s="78" t="n"/>
      <c r="V32" s="74" t="n"/>
    </row>
    <row r="33" ht="15.9" customHeight="1" s="10">
      <c r="A33" s="76" t="inlineStr">
        <is>
          <t>Người lập biểu</t>
        </is>
      </c>
      <c r="O33" s="76" t="inlineStr">
        <is>
          <t>TM, ỦY BAN NHÂN DÂN Xã</t>
        </is>
      </c>
      <c r="U33" s="76" t="n"/>
      <c r="V33" s="77" t="n"/>
    </row>
    <row r="34" ht="15.9" customHeight="1" s="10">
      <c r="A34" s="78" t="inlineStr">
        <is>
          <t>(Ký, ghi rõ họ tên)</t>
        </is>
      </c>
      <c r="O34" s="78" t="inlineStr">
        <is>
          <t>CHỦ TỊCH</t>
        </is>
      </c>
      <c r="U34" s="78" t="n"/>
      <c r="V34" s="74" t="n"/>
    </row>
    <row r="35" ht="15.9" customHeight="1" s="10">
      <c r="O35" s="78" t="inlineStr">
        <is>
          <t>(Ký tên, đóng dấu)</t>
        </is>
      </c>
    </row>
    <row r="40" ht="15.9" customHeight="1" s="10">
      <c r="B40" s="79" t="inlineStr">
        <is>
          <t>Bùi Mạnh Cường</t>
        </is>
      </c>
    </row>
  </sheetData>
  <mergeCells count="66">
    <mergeCell ref="N26:O26"/>
    <mergeCell ref="R8:V8"/>
    <mergeCell ref="P26:Q26"/>
    <mergeCell ref="S9:V9"/>
    <mergeCell ref="B40:E40"/>
    <mergeCell ref="P29:Q29"/>
    <mergeCell ref="F5:W5"/>
    <mergeCell ref="B30:K30"/>
    <mergeCell ref="O35:T35"/>
    <mergeCell ref="O32:T32"/>
    <mergeCell ref="I27:J27"/>
    <mergeCell ref="N25:O25"/>
    <mergeCell ref="P25:Q25"/>
    <mergeCell ref="B24:H24"/>
    <mergeCell ref="A1:E1"/>
    <mergeCell ref="L28:M28"/>
    <mergeCell ref="I26:J26"/>
    <mergeCell ref="A33:F33"/>
    <mergeCell ref="G9:J9"/>
    <mergeCell ref="B26:H26"/>
    <mergeCell ref="A7:A10"/>
    <mergeCell ref="N8:Q9"/>
    <mergeCell ref="I25:J25"/>
    <mergeCell ref="L24:M24"/>
    <mergeCell ref="P27:Q27"/>
    <mergeCell ref="B25:H25"/>
    <mergeCell ref="I28:J28"/>
    <mergeCell ref="W7:W10"/>
    <mergeCell ref="F8:J8"/>
    <mergeCell ref="L30:M30"/>
    <mergeCell ref="L26:M26"/>
    <mergeCell ref="K7:V7"/>
    <mergeCell ref="L29:M29"/>
    <mergeCell ref="B22:Q22"/>
    <mergeCell ref="B27:H27"/>
    <mergeCell ref="N29:O29"/>
    <mergeCell ref="A2:E2"/>
    <mergeCell ref="F9:F10"/>
    <mergeCell ref="I24:J24"/>
    <mergeCell ref="N28:O28"/>
    <mergeCell ref="L25:M25"/>
    <mergeCell ref="A34:F34"/>
    <mergeCell ref="P28:Q28"/>
    <mergeCell ref="F1:W3"/>
    <mergeCell ref="O34:T34"/>
    <mergeCell ref="L23:O23"/>
    <mergeCell ref="A20:B20"/>
    <mergeCell ref="I29:J29"/>
    <mergeCell ref="B23:K23"/>
    <mergeCell ref="N30:O30"/>
    <mergeCell ref="R9:R10"/>
    <mergeCell ref="C7:J7"/>
    <mergeCell ref="P30:Q30"/>
    <mergeCell ref="O33:T33"/>
    <mergeCell ref="N24:O24"/>
    <mergeCell ref="A3:D3"/>
    <mergeCell ref="F6:W6"/>
    <mergeCell ref="C8:E9"/>
    <mergeCell ref="L27:M27"/>
    <mergeCell ref="B29:H29"/>
    <mergeCell ref="B7:B10"/>
    <mergeCell ref="N27:O27"/>
    <mergeCell ref="K8:M9"/>
    <mergeCell ref="S4:W4"/>
    <mergeCell ref="B28:H28"/>
    <mergeCell ref="P23:Q24"/>
  </mergeCells>
  <printOptions horizontalCentered="1"/>
  <pageMargins left="0.1968503937007874" right="0.03937007874015748" top="0.2362204724409449" bottom="0.2" header="0.23" footer="0.2362204724409449"/>
  <pageSetup orientation="landscape" paperSize="9"/>
</worksheet>
</file>

<file path=xl/worksheets/sheet2.xml><?xml version="1.0" encoding="utf-8"?>
<worksheet xmlns="http://schemas.openxmlformats.org/spreadsheetml/2006/main">
  <sheetPr>
    <outlinePr summaryBelow="1" summaryRight="1"/>
    <pageSetUpPr/>
  </sheetPr>
  <dimension ref="A1:C49"/>
  <sheetViews>
    <sheetView workbookViewId="0">
      <selection activeCell="K10" sqref="K10"/>
    </sheetView>
  </sheetViews>
  <sheetFormatPr baseColWidth="8" defaultRowHeight="12.9" customHeight="1"/>
  <sheetData>
    <row r="1" ht="21" customFormat="1" customHeight="1" s="12">
      <c r="A1" s="3" t="inlineStr">
        <is>
          <t>cột 20: đánh giá đạt hay chưa đạt PCGD THCS</t>
        </is>
      </c>
    </row>
    <row r="2" ht="21" customFormat="1" customHeight="1" s="12">
      <c r="A2" s="4" t="inlineStr">
        <is>
          <t>chú ý khi đánh giá đơn vị đạt chuẩn hay ko đạt chuẩn phải xác định đơn vị đó có thuộc vùng miền núi, đk kinh tế khó khăn hay vùng đk bình thường</t>
        </is>
      </c>
    </row>
    <row r="3" ht="21" customFormat="1" customHeight="1" s="12"/>
    <row r="4" ht="21" customFormat="1" customHeight="1" s="12">
      <c r="A4" s="2" t="inlineStr">
        <is>
          <t>Đối với cấp xã thỏa mãn các điều kiện sau:</t>
        </is>
      </c>
    </row>
    <row r="5" ht="21" customFormat="1" customHeight="1" s="12">
      <c r="A5" s="5" t="inlineStr">
        <is>
          <t>* đối với vùng đk kte bình thường, và vùng đồng bằng</t>
        </is>
      </c>
    </row>
    <row r="6" ht="21" customFormat="1" customHeight="1" s="12">
      <c r="A6" s="12" t="inlineStr">
        <is>
          <t>- Đạt chuẩn phổ cập GDTH:</t>
        </is>
      </c>
    </row>
    <row r="7" ht="21" customFormat="1" customHeight="1" s="12">
      <c r="B7" s="12" t="inlineStr">
        <is>
          <t>để được công nhận đạt chuẩn thỏa mãn điều kiện: tỷ lệ &gt;=80% số trẻ ở độ tuổi 14 tốt nghiệp chương trình tiểu học</t>
        </is>
      </c>
    </row>
    <row r="8" ht="21" customFormat="1" customHeight="1" s="12">
      <c r="B8" s="12" t="inlineStr">
        <is>
          <t>muốn đánh giá đạt chuẩn giáo dục tiểu học dựa vào mẫu 1 tiểu học áp dụng công thức sau:</t>
        </is>
      </c>
    </row>
    <row r="9" ht="21" customFormat="1" customHeight="1" s="12">
      <c r="B9" s="2" t="inlineStr">
        <is>
          <t>(dòng 45/ dòng 3*100)&gt;= 80%</t>
        </is>
      </c>
    </row>
    <row r="10" ht="21" customFormat="1" customHeight="1" s="12">
      <c r="A10" s="12" t="inlineStr">
        <is>
          <t>- Đạt chuẩn phổ cập CMC</t>
        </is>
      </c>
    </row>
    <row r="11" ht="21" customFormat="1" customHeight="1" s="12">
      <c r="B11" s="12" t="inlineStr">
        <is>
          <t>đánh giá như sau: chuẩn phổ cập CMC tỷ lệ được công nhận biết chữ từ 15-35&gt;=90%</t>
        </is>
      </c>
    </row>
    <row r="12" ht="21" customFormat="1" customHeight="1" s="12">
      <c r="B12" s="12" t="inlineStr">
        <is>
          <t>dựa vào bảng tổng hợp kết quả xóa mù (bảng 5.2 trong báo cáo thống kê CMC) ==&gt; công thức sau: cột 15 (độ tuổi từ 15-35) &gt;=90%</t>
        </is>
      </c>
    </row>
    <row r="13" ht="21" customFormat="1" customHeight="1" s="12">
      <c r="A13" s="12" t="inlineStr">
        <is>
          <t>- Cột 5&gt;=90%  (dựa vào báo cáo M2_THCS: tỷ lệ trẻ huy động 6 tuổi vào học lớp 1 đạt &gt;=90%)</t>
        </is>
      </c>
    </row>
    <row r="14" ht="21" customFormat="1" customHeight="1" s="12">
      <c r="A14" s="12" t="inlineStr">
        <is>
          <t>- cột 13&gt;=80% ( dựa vào báo cáo M2_thcs: tỷ lệ trẻ ở độ tuổi 11-14 tốt nghiệp tiểu học &gt;=80%)</t>
        </is>
      </c>
    </row>
    <row r="15" ht="21" customFormat="1" customHeight="1" s="12">
      <c r="A15" s="12" t="inlineStr">
        <is>
          <t>- số trẻ còn lại ở độ tuổi 11-14 đang học tiểu học</t>
        </is>
      </c>
    </row>
    <row r="16" ht="21" customFormat="1" customHeight="1" s="12">
      <c r="A16" s="12" t="inlineStr">
        <is>
          <t>- cột 10&gt;= 95%   ( dựa vào báo cáo M2_THCS cột 10: học sinh tốt nghiệp tiểu học hàng năm vào lớp 6 thcs và thcs bổ túc&gt;=95%)</t>
        </is>
      </c>
    </row>
    <row r="17" ht="21" customFormat="1" customHeight="1" s="12">
      <c r="A17" s="12" t="inlineStr">
        <is>
          <t>- cột 14c &gt;= 90% ( dựa vào cột 14c báo cáo M2_THCS tỷ lệ học sinh tốt nghiệp thcs hàng năm &gt;=90%</t>
        </is>
      </c>
    </row>
    <row r="18" ht="21" customFormat="1" customHeight="1" s="12">
      <c r="A18" s="12" t="inlineStr">
        <is>
          <t>- Cột 19 &gt;=80% ( dựa vào cột 19 báo cáo M2_THCs tỷ lệ độ tuổi từ 15-18 có bằng tốt nghiệp thcs và thcs bổ túc &gt;=80%)</t>
        </is>
      </c>
    </row>
    <row r="19" ht="21" customFormat="1" customHeight="1" s="12"/>
    <row r="20" ht="21" customFormat="1" customHeight="1" s="12">
      <c r="A20" s="5" t="inlineStr">
        <is>
          <t>* đối với vùng miền núi và vùng điều kiện kinh tế khó khăn, đặc biệt khó khăn</t>
        </is>
      </c>
    </row>
    <row r="21" ht="21" customFormat="1" customHeight="1" s="12">
      <c r="A21" s="12" t="inlineStr">
        <is>
          <t>- Đạt chuẩn phổ cập GDTH:</t>
        </is>
      </c>
    </row>
    <row r="22" ht="21" customFormat="1" customHeight="1" s="12">
      <c r="B22" s="12" t="inlineStr">
        <is>
          <t>để được công nhận đạt chuẩn thỏa mãn điều kiện: tỷ lệ &gt;=70% số trẻ ở độ tuổi 14 tốt nghiệp chương trình tiểu học</t>
        </is>
      </c>
    </row>
    <row r="23" ht="21" customFormat="1" customHeight="1" s="12">
      <c r="B23" s="12" t="inlineStr">
        <is>
          <t>muốn đánh giá đạt chuẩn giáo dục tiểu học dựa vào mẫu 1 tiểu học áp dụng công thức sau:</t>
        </is>
      </c>
    </row>
    <row r="24" ht="21" customFormat="1" customHeight="1" s="12">
      <c r="B24" s="2" t="inlineStr">
        <is>
          <t>(dòng 45/ dòng 3*100)&gt;= 70%</t>
        </is>
      </c>
    </row>
    <row r="25" ht="21" customFormat="1" customHeight="1" s="12">
      <c r="A25" s="12" t="inlineStr">
        <is>
          <t>- Đạt chuẩn phổ cập CMC</t>
        </is>
      </c>
    </row>
    <row r="26" ht="21" customFormat="1" customHeight="1" s="12">
      <c r="B26" s="12" t="inlineStr">
        <is>
          <t>đánh giá như sau: chuẩn phổ cập CMC tỷ lệ được công nhận biết chữ từ 15-25&gt;=90%</t>
        </is>
      </c>
    </row>
    <row r="27" ht="21" customFormat="1" customHeight="1" s="12">
      <c r="B27" s="12" t="inlineStr">
        <is>
          <t>dựa vào bảng tổng hợp kết quả xóa mù (bảng 5.2 trong báo cáo thống kê CMC) ==&gt; công thức sau: cột 15 (độ tuổi từ 15-25) &gt;=90%</t>
        </is>
      </c>
    </row>
    <row r="28" ht="21" customFormat="1" customHeight="1" s="12">
      <c r="A28" s="12" t="inlineStr">
        <is>
          <t>- Cột 5&gt;=80%  (dựa vào báo cáo M2_THCS: tỷ lệ trẻ huy động 6 tuổi vào học lớp 1 đạt &gt;=80%)</t>
        </is>
      </c>
    </row>
    <row r="29" ht="21" customFormat="1" customHeight="1" s="12">
      <c r="A29" s="12" t="inlineStr">
        <is>
          <t>- cột 13&gt;=70% ( dựa vào báo cáo M2_thcs: tỷ lệ trẻ ở độ tuổi 11-14 tốt nghiệp tiểu học &gt;=70%)</t>
        </is>
      </c>
    </row>
    <row r="30" ht="21" customFormat="1" customHeight="1" s="12">
      <c r="A30" s="12" t="inlineStr">
        <is>
          <t>- số trẻ còn lại ở độ tuổi 11-14 đang học tiểu học</t>
        </is>
      </c>
    </row>
    <row r="31" ht="21" customFormat="1" customHeight="1" s="12">
      <c r="A31" s="2" t="inlineStr">
        <is>
          <t>- cột 10&gt;= 80%  ( dựa vào báo cáo M2_THCS cột 10: học sinh tốt nghiệp tiểu học hàng năm vào lớp 6 thcs và thcs bổ túc&gt;=80%)</t>
        </is>
      </c>
    </row>
    <row r="32" ht="21" customFormat="1" customHeight="1" s="12">
      <c r="A32" s="2" t="inlineStr">
        <is>
          <t>- cột 14c &gt;= 75% ( dựa vào cột 14c báo cáo M2_THCS tỷ lệ học sinh tốt nghiệp thcs hàng năm &gt;=75%</t>
        </is>
      </c>
    </row>
    <row r="33" ht="21" customFormat="1" customHeight="1" s="12">
      <c r="A33" s="2" t="inlineStr">
        <is>
          <t>- Cột 19 &gt;=70% ( dựa vào cột 19 báo cáo M2_THCs tỷ lệ độ tuổi từ 15-18 có bằng tốt nghiệp thcs và thcs bổ túc &gt;=70%)</t>
        </is>
      </c>
    </row>
    <row r="34" ht="21" customFormat="1" customHeight="1" s="12"/>
    <row r="35" ht="21" customFormat="1" customHeight="1" s="12">
      <c r="A35" s="3" t="inlineStr">
        <is>
          <t>Đối với cấp Quận / Huyện/ Thị xã, Thành phố trược thuộc Tỉnh</t>
        </is>
      </c>
    </row>
    <row r="36" ht="21" customFormat="1" customHeight="1" s="12">
      <c r="B36" s="5" t="inlineStr">
        <is>
          <t>* Đối với vùng không thuộc vùng miền núi và vùng điều kiện kte khó khăn</t>
        </is>
      </c>
    </row>
    <row r="37" ht="21" customFormat="1" customHeight="1" s="12">
      <c r="C37" s="12" t="inlineStr">
        <is>
          <t>- Đạt chuẩn phổ cập quốc gia về PCGDTH</t>
        </is>
      </c>
    </row>
    <row r="38" ht="21" customFormat="1" customHeight="1" s="12">
      <c r="C38" s="12" t="inlineStr">
        <is>
          <t>phải có &gt;=90% số đơn vị được công nhận đạt chuẩn</t>
        </is>
      </c>
    </row>
    <row r="39" ht="21" customFormat="1" customHeight="1" s="12">
      <c r="C39" s="12" t="inlineStr">
        <is>
          <t>- Đạt chuẩn Phổ cập CMC</t>
        </is>
      </c>
    </row>
    <row r="40" ht="21" customFormat="1" customHeight="1" s="12">
      <c r="C40" s="12" t="inlineStr">
        <is>
          <t>có &gt;=90% số đơn vị được công nhận đạt chuẩn CMC</t>
        </is>
      </c>
    </row>
    <row r="41" ht="21" customFormat="1" customHeight="1" s="12">
      <c r="C41" s="12" t="inlineStr">
        <is>
          <t xml:space="preserve"> &gt;=90% số đơn vị đạt chuẩn THCS</t>
        </is>
      </c>
    </row>
    <row r="42" ht="21" customFormat="1" customHeight="1" s="12">
      <c r="B42" s="5" t="inlineStr">
        <is>
          <t>* Đối với vùng thuộc vùng miền núi và vùng điều kiện kte khó khăn</t>
        </is>
      </c>
    </row>
    <row r="43" ht="21" customFormat="1" customHeight="1" s="12">
      <c r="C43" s="12" t="inlineStr">
        <is>
          <t>- Đạt chuẩn phổ cập quốc gia về PCGDTH</t>
        </is>
      </c>
    </row>
    <row r="44" ht="21" customFormat="1" customHeight="1" s="12">
      <c r="C44" s="12" t="inlineStr">
        <is>
          <t>phải có &gt;=80% số đơn vị được công nhận đạt chuẩn</t>
        </is>
      </c>
    </row>
    <row r="45" ht="21" customFormat="1" customHeight="1" s="12">
      <c r="C45" s="12" t="inlineStr">
        <is>
          <t>- Đạt chuẩn Phổ cập CMC</t>
        </is>
      </c>
    </row>
    <row r="46" ht="21" customFormat="1" customHeight="1" s="12">
      <c r="C46" s="12" t="inlineStr">
        <is>
          <t>có &gt;=80% số đơn vị được công nhận đạt chuẩn CMC</t>
        </is>
      </c>
    </row>
    <row r="47" ht="21" customFormat="1" customHeight="1" s="12">
      <c r="C47" s="12" t="inlineStr">
        <is>
          <t xml:space="preserve"> &gt;=90% số đơn vị đạt chuẩn THCS</t>
        </is>
      </c>
    </row>
    <row r="48" ht="21" customFormat="1" customHeight="1" s="12">
      <c r="B48" s="3" t="inlineStr">
        <is>
          <t>Đối với tỉnh thành phố trực thuộc trung ương</t>
        </is>
      </c>
    </row>
    <row r="49" ht="21" customFormat="1" customHeight="1" s="12">
      <c r="B49" s="12" t="inlineStr">
        <is>
          <t>Đảm bảo 100% số quận huyện, thị xã, thành phố thuộc tỉnh đạt chuẩn GDTrH tại thời điểm kiểm tra</t>
        </is>
      </c>
    </row>
    <row r="50" ht="21" customFormat="1" customHeight="1" s="12"/>
  </sheetData>
  <pageMargins left="0.7" right="0.7" top="0.75" bottom="0.75" header="0.3" footer="0.3"/>
  <pageSetup orientation="landscape" paperSize="9" scale="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dc:creator>
  <dcterms:created xsi:type="dcterms:W3CDTF">2024-10-01T01:52:44Z</dcterms:created>
  <dcterms:modified xsi:type="dcterms:W3CDTF">2026-09-21T17:18:37Z</dcterms:modified>
  <cp:lastModifiedBy>Cvjs</cp:lastModifiedBy>
  <cp:lastPrinted>2024-10-12T01:52:20Z</cp:lastPrinted>
</cp:coreProperties>
</file>