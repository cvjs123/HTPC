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Xoá m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indexed="8"/>
      <sz val="11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Times New Roman"/>
      <family val="1"/>
      <i val="1"/>
      <color indexed="8"/>
      <sz val="12"/>
    </font>
    <font>
      <name val="Times New Roman"/>
      <family val="1"/>
      <b val="1"/>
      <color indexed="8"/>
      <sz val="16"/>
    </font>
    <font>
      <name val="Times New Roman"/>
      <family val="1"/>
      <color indexed="8"/>
      <sz val="16"/>
    </font>
    <font>
      <name val="Times New Roman"/>
      <family val="1"/>
      <color indexed="8"/>
      <sz val="10"/>
    </font>
    <font>
      <name val="Times New Roman"/>
      <family val="1"/>
      <b val="1"/>
      <color indexed="8"/>
      <sz val="10"/>
    </font>
    <font>
      <name val="Times New Roman"/>
      <family val="1"/>
      <color indexed="8"/>
      <sz val="11"/>
    </font>
    <font>
      <name val="Times New Roman"/>
      <family val="1"/>
      <b val="1"/>
      <color indexed="8"/>
      <sz val="8"/>
    </font>
    <font>
      <name val="Times New Roman"/>
      <family val="1"/>
      <color indexed="8"/>
      <sz val="8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sz val="11"/>
    </font>
    <font>
      <name val="Times New Roman"/>
      <family val="1"/>
      <i val="1"/>
      <color indexed="8"/>
      <sz val="10"/>
    </font>
  </fonts>
  <fills count="2">
    <fill>
      <patternFill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/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/>
      <diagonal/>
    </border>
    <border>
      <left style="thin">
        <color indexed="8"/>
      </left>
      <right style="dotted">
        <color indexed="8"/>
      </right>
      <top style="dotted">
        <color indexed="8"/>
      </top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/>
      <diagonal/>
    </border>
    <border>
      <left/>
      <right style="dotted">
        <color indexed="8"/>
      </right>
      <top style="dotted">
        <color indexed="8"/>
      </top>
      <bottom/>
      <diagonal/>
    </border>
    <border>
      <left style="thin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dotted">
        <color indexed="8"/>
      </right>
      <top/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dotted">
        <color indexed="8"/>
      </top>
      <bottom style="thin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thin">
        <color indexed="8"/>
      </bottom>
      <diagonal/>
    </border>
    <border>
      <left/>
      <right style="dotted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thin">
        <color indexed="8"/>
      </top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8" fillId="0" borderId="0" pivotButton="0" quotePrefix="0" xfId="0"/>
    <xf numFmtId="49" fontId="9" fillId="0" borderId="18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49" fontId="10" fillId="0" borderId="10" applyAlignment="1" pivotButton="0" quotePrefix="0" xfId="0">
      <alignment horizontal="center" vertical="center" shrinkToFit="1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21" applyAlignment="1" pivotButton="0" quotePrefix="0" xfId="0">
      <alignment horizontal="center"/>
    </xf>
    <xf numFmtId="49" fontId="10" fillId="0" borderId="1" applyAlignment="1" pivotButton="0" quotePrefix="0" xfId="0">
      <alignment horizontal="center" vertical="center" shrinkToFit="1"/>
    </xf>
    <xf numFmtId="0" fontId="10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49" fontId="10" fillId="0" borderId="5" applyAlignment="1" pivotButton="0" quotePrefix="0" xfId="0">
      <alignment horizontal="center" vertical="center" shrinkToFit="1"/>
    </xf>
    <xf numFmtId="0" fontId="9" fillId="0" borderId="9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 shrinkToFit="1"/>
    </xf>
    <xf numFmtId="0" fontId="10" fillId="0" borderId="11" applyAlignment="1" pivotButton="0" quotePrefix="0" xfId="0">
      <alignment horizontal="center" vertical="center" shrinkToFit="1"/>
    </xf>
    <xf numFmtId="0" fontId="10" fillId="0" borderId="12" applyAlignment="1" pivotButton="0" quotePrefix="0" xfId="0">
      <alignment horizontal="center" vertical="center" shrinkToFit="1"/>
    </xf>
    <xf numFmtId="0" fontId="10" fillId="0" borderId="13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4" applyAlignment="1" pivotButton="0" quotePrefix="0" xfId="0">
      <alignment horizontal="center" vertical="center" shrinkToFit="1"/>
    </xf>
    <xf numFmtId="49" fontId="10" fillId="0" borderId="14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 shrinkToFit="1"/>
    </xf>
    <xf numFmtId="0" fontId="13" fillId="0" borderId="0" pivotButton="0" quotePrefix="0" xfId="0"/>
    <xf numFmtId="0" fontId="10" fillId="0" borderId="14" applyAlignment="1" pivotButton="0" quotePrefix="0" xfId="0">
      <alignment horizontal="center" vertical="center" shrinkToFit="1"/>
    </xf>
    <xf numFmtId="0" fontId="10" fillId="0" borderId="15" applyAlignment="1" pivotButton="0" quotePrefix="0" xfId="0">
      <alignment horizontal="center" vertical="center" shrinkToFit="1"/>
    </xf>
    <xf numFmtId="0" fontId="10" fillId="0" borderId="16" applyAlignment="1" pivotButton="0" quotePrefix="0" xfId="0">
      <alignment horizontal="center" vertical="center" shrinkToFit="1"/>
    </xf>
    <xf numFmtId="0" fontId="10" fillId="0" borderId="17" applyAlignment="1" pivotButton="0" quotePrefix="0" xfId="0">
      <alignment horizontal="center" vertical="center" shrinkToFit="1"/>
    </xf>
    <xf numFmtId="0" fontId="11" fillId="0" borderId="18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49" fontId="9" fillId="0" borderId="18" applyAlignment="1" pivotButton="0" quotePrefix="0" xfId="0">
      <alignment horizontal="center" vertical="center" wrapText="1"/>
    </xf>
    <xf numFmtId="49" fontId="9" fillId="0" borderId="1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49" fontId="9" fillId="0" borderId="22" applyAlignment="1" pivotButton="0" quotePrefix="0" xfId="0">
      <alignment horizontal="center" vertical="center" shrinkToFit="1"/>
    </xf>
    <xf numFmtId="49" fontId="9" fillId="0" borderId="23" applyAlignment="1" pivotButton="0" quotePrefix="0" xfId="0">
      <alignment horizontal="center" vertical="center" shrinkToFit="1"/>
    </xf>
    <xf numFmtId="49" fontId="11" fillId="0" borderId="18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9" pivotButton="0" quotePrefix="0" xfId="0"/>
    <xf numFmtId="49" fontId="9" fillId="0" borderId="18" applyAlignment="1" pivotButton="0" quotePrefix="0" xfId="0">
      <alignment horizontal="center" vertical="center" shrinkToFi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tabSelected="1" workbookViewId="0">
      <selection activeCell="M12" sqref="M12"/>
    </sheetView>
  </sheetViews>
  <sheetFormatPr baseColWidth="8" defaultColWidth="9.109375" defaultRowHeight="12.75" customHeight="1"/>
  <cols>
    <col width="8.6640625" customWidth="1" style="3" min="1" max="2"/>
    <col width="6.6640625" customWidth="1" style="3" min="3" max="18"/>
    <col width="9.6640625" customWidth="1" style="3" min="19" max="19"/>
    <col width="9.109375" customWidth="1" style="4" min="20" max="16384"/>
  </cols>
  <sheetData>
    <row r="1" ht="12.75" customHeight="1">
      <c r="P1" s="49" t="inlineStr">
        <is>
          <t>XMC-03</t>
        </is>
      </c>
    </row>
    <row r="2" ht="24" customHeight="1">
      <c r="A2" s="43" t="inlineStr">
        <is>
          <t>TỔNG HỢP KẾT QUẢ XOÁ MÙ CHỮ</t>
        </is>
      </c>
    </row>
    <row r="3" ht="18" customHeight="1">
      <c r="A3" s="42" t="n"/>
    </row>
    <row r="4" ht="16.5" customHeight="1">
      <c r="A4" s="48" t="inlineStr">
        <is>
          <t>Độ tuổi</t>
        </is>
      </c>
      <c r="B4" s="48" t="inlineStr">
        <is>
          <t>Năm sinh</t>
        </is>
      </c>
      <c r="C4" s="47" t="inlineStr">
        <is>
          <t>TRONG ĐỘ TUỔI</t>
        </is>
      </c>
      <c r="D4" s="56" t="n"/>
      <c r="E4" s="56" t="n"/>
      <c r="F4" s="57" t="n"/>
      <c r="G4" s="47" t="inlineStr">
        <is>
          <t>MÙ CHỮ</t>
        </is>
      </c>
      <c r="H4" s="58" t="n"/>
      <c r="I4" s="58" t="n"/>
      <c r="J4" s="58" t="n"/>
      <c r="K4" s="58" t="n"/>
      <c r="L4" s="58" t="n"/>
      <c r="M4" s="58" t="n"/>
      <c r="N4" s="59" t="n"/>
      <c r="O4" s="48" t="inlineStr">
        <is>
          <t>BIẾT CHỮ</t>
        </is>
      </c>
      <c r="P4" s="56" t="n"/>
      <c r="Q4" s="56" t="n"/>
      <c r="R4" s="57" t="n"/>
      <c r="S4" s="47" t="inlineStr">
        <is>
          <t>Tỷ lệ %
biết chữ</t>
        </is>
      </c>
    </row>
    <row r="5" ht="16.5" customHeight="1">
      <c r="A5" s="60" t="n"/>
      <c r="B5" s="60" t="n"/>
      <c r="C5" s="61" t="n"/>
      <c r="D5" s="62" t="n"/>
      <c r="E5" s="62" t="n"/>
      <c r="F5" s="63" t="n"/>
      <c r="G5" s="47" t="inlineStr">
        <is>
          <t>Mù chữ mức 1</t>
        </is>
      </c>
      <c r="H5" s="58" t="n"/>
      <c r="I5" s="58" t="n"/>
      <c r="J5" s="59" t="n"/>
      <c r="K5" s="47" t="inlineStr">
        <is>
          <t>Mù chữ mức 2</t>
        </is>
      </c>
      <c r="L5" s="58" t="n"/>
      <c r="M5" s="58" t="n"/>
      <c r="N5" s="59" t="n"/>
      <c r="O5" s="61" t="n"/>
      <c r="P5" s="62" t="n"/>
      <c r="Q5" s="62" t="n"/>
      <c r="R5" s="63" t="n"/>
      <c r="S5" s="60" t="n"/>
    </row>
    <row r="6" ht="22.5" customFormat="1" customHeight="1" s="6">
      <c r="A6" s="64" t="n"/>
      <c r="B6" s="64" t="n"/>
      <c r="C6" s="47" t="inlineStr">
        <is>
          <t>TS</t>
        </is>
      </c>
      <c r="D6" s="47" t="inlineStr">
        <is>
          <t>Nữ</t>
        </is>
      </c>
      <c r="E6" s="47" t="inlineStr">
        <is>
          <t>Dân tộc</t>
        </is>
      </c>
      <c r="F6" s="47" t="inlineStr">
        <is>
          <t>Nữ dân tộc</t>
        </is>
      </c>
      <c r="G6" s="47" t="inlineStr">
        <is>
          <t>TS</t>
        </is>
      </c>
      <c r="H6" s="47" t="inlineStr">
        <is>
          <t>Nữ</t>
        </is>
      </c>
      <c r="I6" s="47" t="inlineStr">
        <is>
          <t>Dân tộc</t>
        </is>
      </c>
      <c r="J6" s="47" t="inlineStr">
        <is>
          <t>Nữ dân tộc</t>
        </is>
      </c>
      <c r="K6" s="47" t="inlineStr">
        <is>
          <t>TS</t>
        </is>
      </c>
      <c r="L6" s="47" t="inlineStr">
        <is>
          <t>Nữ</t>
        </is>
      </c>
      <c r="M6" s="47" t="inlineStr">
        <is>
          <t>Dân tộc</t>
        </is>
      </c>
      <c r="N6" s="47" t="inlineStr">
        <is>
          <t>Nữ dân tộc</t>
        </is>
      </c>
      <c r="O6" s="47" t="inlineStr">
        <is>
          <t>TS</t>
        </is>
      </c>
      <c r="P6" s="47" t="inlineStr">
        <is>
          <t>Nữ</t>
        </is>
      </c>
      <c r="Q6" s="47" t="inlineStr">
        <is>
          <t>Dân tộc</t>
        </is>
      </c>
      <c r="R6" s="47" t="inlineStr">
        <is>
          <t>Nữ dân tộc</t>
        </is>
      </c>
      <c r="S6" s="64" t="n"/>
    </row>
    <row r="7" ht="16.5" customHeight="1">
      <c r="A7" s="7" t="inlineStr">
        <is>
          <t>15 tuổi</t>
        </is>
      </c>
      <c r="B7" s="8" t="n">
        <v>2010</v>
      </c>
      <c r="C7" s="9" t="n">
        <v>1</v>
      </c>
      <c r="D7" s="9" t="n">
        <v>1</v>
      </c>
      <c r="E7" s="9" t="n">
        <v>1</v>
      </c>
      <c r="F7" s="9" t="n">
        <v>1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</v>
      </c>
      <c r="P7" s="9" t="n">
        <v>1</v>
      </c>
      <c r="Q7" s="9" t="n">
        <v>1</v>
      </c>
      <c r="R7" s="9" t="n">
        <v>1</v>
      </c>
      <c r="S7" s="10">
        <f>IF(C7&gt;0,O7/C7%,0)</f>
        <v/>
      </c>
    </row>
    <row r="8" ht="16.5" customHeight="1">
      <c r="A8" s="11" t="inlineStr">
        <is>
          <t>16 tuổi</t>
        </is>
      </c>
      <c r="B8" s="12" t="n">
        <v>2009</v>
      </c>
      <c r="C8" s="13" t="n">
        <v>3</v>
      </c>
      <c r="D8" s="14" t="n">
        <v>2</v>
      </c>
      <c r="E8" s="14" t="n">
        <v>3</v>
      </c>
      <c r="F8" s="14" t="n">
        <v>2</v>
      </c>
      <c r="G8" s="13" t="n"/>
      <c r="H8" s="14" t="n"/>
      <c r="I8" s="14" t="n"/>
      <c r="J8" s="14" t="n"/>
      <c r="K8" s="15" t="n"/>
      <c r="L8" s="15" t="n"/>
      <c r="M8" s="15" t="n"/>
      <c r="N8" s="15" t="n"/>
      <c r="O8" s="13" t="n">
        <v>3</v>
      </c>
      <c r="P8" s="14" t="n">
        <v>2</v>
      </c>
      <c r="Q8" s="14" t="n">
        <v>3</v>
      </c>
      <c r="R8" s="14" t="n">
        <v>2</v>
      </c>
      <c r="S8" s="12">
        <f>IF(C8&gt;0,O8/C8%,0)</f>
        <v/>
      </c>
    </row>
    <row r="9" ht="16.5" customHeight="1">
      <c r="A9" s="11" t="inlineStr">
        <is>
          <t>17 tuổi</t>
        </is>
      </c>
      <c r="B9" s="16" t="n">
        <v>2008</v>
      </c>
      <c r="C9" s="17" t="n">
        <v>4</v>
      </c>
      <c r="D9" s="18" t="n">
        <v>2</v>
      </c>
      <c r="E9" s="18" t="n">
        <v>4</v>
      </c>
      <c r="F9" s="18" t="n">
        <v>2</v>
      </c>
      <c r="G9" s="17" t="n"/>
      <c r="H9" s="18" t="n"/>
      <c r="I9" s="18" t="n"/>
      <c r="J9" s="18" t="n"/>
      <c r="K9" s="19" t="n"/>
      <c r="L9" s="19" t="n"/>
      <c r="M9" s="19" t="n"/>
      <c r="N9" s="19" t="n"/>
      <c r="O9" s="17" t="n">
        <v>4</v>
      </c>
      <c r="P9" s="18" t="n">
        <v>2</v>
      </c>
      <c r="Q9" s="18" t="n">
        <v>4</v>
      </c>
      <c r="R9" s="18" t="n">
        <v>2</v>
      </c>
      <c r="S9" s="16">
        <f>IF(C9&gt;0,O9/C9%,0)</f>
        <v/>
      </c>
    </row>
    <row r="10" ht="16.5" customHeight="1">
      <c r="A10" s="11" t="inlineStr">
        <is>
          <t>18 tuổi</t>
        </is>
      </c>
      <c r="B10" s="16" t="n">
        <v>2007</v>
      </c>
      <c r="C10" s="17" t="n"/>
      <c r="D10" s="18" t="n"/>
      <c r="E10" s="18" t="n"/>
      <c r="F10" s="18" t="n"/>
      <c r="G10" s="17" t="n"/>
      <c r="H10" s="18" t="n"/>
      <c r="I10" s="18" t="n"/>
      <c r="J10" s="18" t="n"/>
      <c r="K10" s="19" t="n"/>
      <c r="L10" s="19" t="n"/>
      <c r="M10" s="19" t="n"/>
      <c r="N10" s="19" t="n"/>
      <c r="O10" s="17" t="n"/>
      <c r="P10" s="18" t="n"/>
      <c r="Q10" s="18" t="n"/>
      <c r="R10" s="18" t="n"/>
      <c r="S10" s="16">
        <f>IF(C10&gt;0,O10/C10%,0)</f>
        <v/>
      </c>
    </row>
    <row r="11" ht="16.5" customHeight="1">
      <c r="A11" s="11" t="inlineStr">
        <is>
          <t>19 tuổi</t>
        </is>
      </c>
      <c r="B11" s="16" t="n">
        <v>2006</v>
      </c>
      <c r="C11" s="17" t="n">
        <v>1</v>
      </c>
      <c r="D11" s="18" t="n">
        <v>1</v>
      </c>
      <c r="E11" s="18" t="n">
        <v>1</v>
      </c>
      <c r="F11" s="18" t="n">
        <v>1</v>
      </c>
      <c r="G11" s="17" t="n"/>
      <c r="H11" s="18" t="n"/>
      <c r="I11" s="18" t="n"/>
      <c r="J11" s="18" t="n"/>
      <c r="K11" s="19" t="n"/>
      <c r="L11" s="19" t="n"/>
      <c r="M11" s="19" t="n"/>
      <c r="N11" s="19" t="n"/>
      <c r="O11" s="17" t="n">
        <v>1</v>
      </c>
      <c r="P11" s="18" t="n">
        <v>1</v>
      </c>
      <c r="Q11" s="18" t="n">
        <v>1</v>
      </c>
      <c r="R11" s="18" t="n">
        <v>1</v>
      </c>
      <c r="S11" s="16">
        <f>IF(C11&gt;0,O11/C11%,0)</f>
        <v/>
      </c>
    </row>
    <row r="12" ht="16.5" customHeight="1">
      <c r="A12" s="11" t="inlineStr">
        <is>
          <t>20 tuổi</t>
        </is>
      </c>
      <c r="B12" s="16" t="n">
        <v>2005</v>
      </c>
      <c r="C12" s="17" t="n"/>
      <c r="D12" s="18" t="n"/>
      <c r="E12" s="18" t="n"/>
      <c r="F12" s="18" t="n"/>
      <c r="G12" s="17" t="n"/>
      <c r="H12" s="18" t="n"/>
      <c r="I12" s="18" t="n"/>
      <c r="J12" s="18" t="n"/>
      <c r="K12" s="19" t="n"/>
      <c r="L12" s="19" t="n"/>
      <c r="M12" s="19" t="n"/>
      <c r="N12" s="19" t="n"/>
      <c r="O12" s="17" t="n"/>
      <c r="P12" s="18" t="n"/>
      <c r="Q12" s="18" t="n"/>
      <c r="R12" s="18" t="n"/>
      <c r="S12" s="16">
        <f>IF(C12&gt;0,O12/C12%,0)</f>
        <v/>
      </c>
    </row>
    <row r="13" ht="16.5" customHeight="1">
      <c r="A13" s="11" t="inlineStr">
        <is>
          <t>21 tuổi</t>
        </is>
      </c>
      <c r="B13" s="16" t="n">
        <v>2004</v>
      </c>
      <c r="C13" s="17" t="n">
        <v>3</v>
      </c>
      <c r="D13" s="18" t="n">
        <v>1</v>
      </c>
      <c r="E13" s="18" t="n">
        <v>3</v>
      </c>
      <c r="F13" s="18" t="n">
        <v>1</v>
      </c>
      <c r="G13" s="17" t="n"/>
      <c r="H13" s="18" t="n"/>
      <c r="I13" s="18" t="n"/>
      <c r="J13" s="18" t="n"/>
      <c r="K13" s="19" t="n"/>
      <c r="L13" s="19" t="n"/>
      <c r="M13" s="19" t="n"/>
      <c r="N13" s="19" t="n"/>
      <c r="O13" s="17" t="n">
        <v>3</v>
      </c>
      <c r="P13" s="18" t="n">
        <v>1</v>
      </c>
      <c r="Q13" s="18" t="n">
        <v>3</v>
      </c>
      <c r="R13" s="18" t="n">
        <v>1</v>
      </c>
      <c r="S13" s="16">
        <f>IF(C13&gt;0,O13/C13%,0)</f>
        <v/>
      </c>
    </row>
    <row r="14" ht="16.5" customHeight="1">
      <c r="A14" s="11" t="inlineStr">
        <is>
          <t>22 tuổi</t>
        </is>
      </c>
      <c r="B14" s="16" t="n">
        <v>2003</v>
      </c>
      <c r="C14" s="17" t="n"/>
      <c r="D14" s="18" t="n"/>
      <c r="E14" s="18" t="n"/>
      <c r="F14" s="18" t="n"/>
      <c r="G14" s="17" t="n"/>
      <c r="H14" s="18" t="n"/>
      <c r="I14" s="18" t="n"/>
      <c r="J14" s="18" t="n"/>
      <c r="K14" s="19" t="n"/>
      <c r="L14" s="19" t="n"/>
      <c r="M14" s="19" t="n"/>
      <c r="N14" s="19" t="n"/>
      <c r="O14" s="17" t="n"/>
      <c r="P14" s="18" t="n"/>
      <c r="Q14" s="18" t="n"/>
      <c r="R14" s="18" t="n"/>
      <c r="S14" s="16">
        <f>IF(C14&gt;0,O14/C14%,0)</f>
        <v/>
      </c>
    </row>
    <row r="15" ht="16.5" customHeight="1">
      <c r="A15" s="11" t="inlineStr">
        <is>
          <t>23 tuổi</t>
        </is>
      </c>
      <c r="B15" s="16" t="n">
        <v>2002</v>
      </c>
      <c r="C15" s="17" t="n">
        <v>1</v>
      </c>
      <c r="D15" s="18" t="n">
        <v>1</v>
      </c>
      <c r="E15" s="18" t="n">
        <v>1</v>
      </c>
      <c r="F15" s="18" t="n">
        <v>1</v>
      </c>
      <c r="G15" s="17" t="n"/>
      <c r="H15" s="18" t="n"/>
      <c r="I15" s="18" t="n"/>
      <c r="J15" s="18" t="n"/>
      <c r="K15" s="19" t="n"/>
      <c r="L15" s="19" t="n"/>
      <c r="M15" s="19" t="n"/>
      <c r="N15" s="19" t="n"/>
      <c r="O15" s="17" t="n">
        <v>1</v>
      </c>
      <c r="P15" s="18" t="n">
        <v>1</v>
      </c>
      <c r="Q15" s="18" t="n">
        <v>1</v>
      </c>
      <c r="R15" s="18" t="n">
        <v>1</v>
      </c>
      <c r="S15" s="16">
        <f>IF(C15&gt;0,O15/C15%,0)</f>
        <v/>
      </c>
    </row>
    <row r="16" ht="16.5" customHeight="1">
      <c r="A16" s="11" t="inlineStr">
        <is>
          <t>24 tuổi</t>
        </is>
      </c>
      <c r="B16" s="16" t="n">
        <v>2001</v>
      </c>
      <c r="C16" s="17" t="n"/>
      <c r="D16" s="18" t="n"/>
      <c r="E16" s="18" t="n"/>
      <c r="F16" s="18" t="n"/>
      <c r="G16" s="17" t="n"/>
      <c r="H16" s="18" t="n"/>
      <c r="I16" s="18" t="n"/>
      <c r="J16" s="18" t="n"/>
      <c r="K16" s="19" t="n"/>
      <c r="L16" s="19" t="n"/>
      <c r="M16" s="19" t="n"/>
      <c r="N16" s="19" t="n"/>
      <c r="O16" s="17" t="n"/>
      <c r="P16" s="18" t="n"/>
      <c r="Q16" s="18" t="n"/>
      <c r="R16" s="18" t="n"/>
      <c r="S16" s="16">
        <f>IF(C16&gt;0,O16/C16%,0)</f>
        <v/>
      </c>
    </row>
    <row r="17" ht="16.5" customHeight="1">
      <c r="A17" s="20" t="inlineStr">
        <is>
          <t>25 tuổi</t>
        </is>
      </c>
      <c r="B17" s="16" t="n">
        <v>2000</v>
      </c>
      <c r="C17" s="17" t="n">
        <v>1</v>
      </c>
      <c r="D17" s="18" t="n">
        <v>1</v>
      </c>
      <c r="E17" s="18" t="n">
        <v>1</v>
      </c>
      <c r="F17" s="18" t="n">
        <v>1</v>
      </c>
      <c r="G17" s="17" t="n"/>
      <c r="H17" s="18" t="n"/>
      <c r="I17" s="18" t="n"/>
      <c r="J17" s="18" t="n"/>
      <c r="K17" s="19" t="n"/>
      <c r="L17" s="19" t="n"/>
      <c r="M17" s="19" t="n"/>
      <c r="N17" s="19" t="n"/>
      <c r="O17" s="17" t="n">
        <v>1</v>
      </c>
      <c r="P17" s="18" t="n">
        <v>1</v>
      </c>
      <c r="Q17" s="18" t="n">
        <v>1</v>
      </c>
      <c r="R17" s="18" t="n">
        <v>1</v>
      </c>
      <c r="S17" s="16">
        <f>IF(C17&gt;0,O17/C17%,0)</f>
        <v/>
      </c>
    </row>
    <row r="18" ht="16.5" customHeight="1">
      <c r="A18" s="65" t="inlineStr">
        <is>
          <t>Cộng 15 - 25</t>
        </is>
      </c>
      <c r="B18" s="59" t="n"/>
      <c r="C18" s="21">
        <f>SUM(C7:C17)</f>
        <v/>
      </c>
      <c r="D18" s="21">
        <f>SUM(D7:D17)</f>
        <v/>
      </c>
      <c r="E18" s="21">
        <f>SUM(E7:E17)</f>
        <v/>
      </c>
      <c r="F18" s="21">
        <f>SUM(F7:F17)</f>
        <v/>
      </c>
      <c r="G18" s="21">
        <f>SUM(G7:G17)</f>
        <v/>
      </c>
      <c r="H18" s="21">
        <f>SUM(H7:H17)</f>
        <v/>
      </c>
      <c r="I18" s="21">
        <f>SUM(I7:I17)</f>
        <v/>
      </c>
      <c r="J18" s="21">
        <f>SUM(J7:J17)</f>
        <v/>
      </c>
      <c r="K18" s="21">
        <f>SUM(K7:K17)</f>
        <v/>
      </c>
      <c r="L18" s="21">
        <f>SUM(L7:L17)</f>
        <v/>
      </c>
      <c r="M18" s="21">
        <f>SUM(M7:M17)</f>
        <v/>
      </c>
      <c r="N18" s="21">
        <f>SUM(N7:N17)</f>
        <v/>
      </c>
      <c r="O18" s="21">
        <f>SUM(O7:O17)</f>
        <v/>
      </c>
      <c r="P18" s="21">
        <f>SUM(P7:P17)</f>
        <v/>
      </c>
      <c r="Q18" s="21">
        <f>SUM(Q7:Q17)</f>
        <v/>
      </c>
      <c r="R18" s="21">
        <f>SUM(R7:R17)</f>
        <v/>
      </c>
      <c r="S18" s="21">
        <f>O18/C18%</f>
        <v/>
      </c>
    </row>
    <row r="19" ht="16.5" customHeight="1">
      <c r="A19" s="7" t="inlineStr">
        <is>
          <t>26 tuổi</t>
        </is>
      </c>
      <c r="B19" s="22" t="n">
        <v>1999</v>
      </c>
      <c r="C19" s="23" t="n">
        <v>1</v>
      </c>
      <c r="D19" s="24" t="n"/>
      <c r="E19" s="24" t="n">
        <v>1</v>
      </c>
      <c r="F19" s="24" t="n"/>
      <c r="G19" s="23" t="n"/>
      <c r="H19" s="24" t="n"/>
      <c r="I19" s="24" t="n"/>
      <c r="J19" s="24" t="n"/>
      <c r="K19" s="25" t="n"/>
      <c r="L19" s="25" t="n"/>
      <c r="M19" s="25" t="n"/>
      <c r="N19" s="25" t="n"/>
      <c r="O19" s="23" t="n">
        <v>1</v>
      </c>
      <c r="P19" s="24" t="n"/>
      <c r="Q19" s="24" t="n">
        <v>1</v>
      </c>
      <c r="R19" s="24" t="n"/>
      <c r="S19" s="22">
        <f>IF(C19&gt;0,O19/C19%,0)</f>
        <v/>
      </c>
    </row>
    <row r="20" ht="16.5" customHeight="1">
      <c r="A20" s="11" t="inlineStr">
        <is>
          <t>27 tuổi</t>
        </is>
      </c>
      <c r="B20" s="26" t="n">
        <v>1998</v>
      </c>
      <c r="C20" s="27" t="n">
        <v>1</v>
      </c>
      <c r="D20" s="28" t="n">
        <v>1</v>
      </c>
      <c r="E20" s="28" t="n">
        <v>1</v>
      </c>
      <c r="F20" s="28" t="n">
        <v>1</v>
      </c>
      <c r="G20" s="27" t="n"/>
      <c r="H20" s="28" t="n"/>
      <c r="I20" s="28" t="n"/>
      <c r="J20" s="28" t="n"/>
      <c r="K20" s="29" t="n"/>
      <c r="L20" s="29" t="n"/>
      <c r="M20" s="29" t="n"/>
      <c r="N20" s="29" t="n"/>
      <c r="O20" s="27" t="n">
        <v>1</v>
      </c>
      <c r="P20" s="28" t="n">
        <v>1</v>
      </c>
      <c r="Q20" s="28" t="n">
        <v>1</v>
      </c>
      <c r="R20" s="28" t="n">
        <v>1</v>
      </c>
      <c r="S20" s="26">
        <f>IF(C20&gt;0,O20/C20%,0)</f>
        <v/>
      </c>
    </row>
    <row r="21" ht="16.5" customHeight="1">
      <c r="A21" s="11" t="inlineStr">
        <is>
          <t>28 tuổi</t>
        </is>
      </c>
      <c r="B21" s="30" t="n">
        <v>1997</v>
      </c>
      <c r="C21" s="31" t="n">
        <v>1</v>
      </c>
      <c r="D21" s="32" t="n"/>
      <c r="E21" s="32" t="n">
        <v>1</v>
      </c>
      <c r="F21" s="32" t="n"/>
      <c r="G21" s="31" t="n"/>
      <c r="H21" s="32" t="n"/>
      <c r="I21" s="32" t="n"/>
      <c r="J21" s="32" t="n"/>
      <c r="K21" s="33" t="n"/>
      <c r="L21" s="33" t="n"/>
      <c r="M21" s="33" t="n"/>
      <c r="N21" s="33" t="n"/>
      <c r="O21" s="31" t="n">
        <v>1</v>
      </c>
      <c r="P21" s="32" t="n"/>
      <c r="Q21" s="32" t="n">
        <v>1</v>
      </c>
      <c r="R21" s="32" t="n"/>
      <c r="S21" s="30">
        <f>IF(C21&gt;0,O21/C21%,0)</f>
        <v/>
      </c>
    </row>
    <row r="22" ht="16.5" customHeight="1">
      <c r="A22" s="11" t="inlineStr">
        <is>
          <t>29 tuổi</t>
        </is>
      </c>
      <c r="B22" s="30" t="n">
        <v>1996</v>
      </c>
      <c r="C22" s="31" t="n">
        <v>2</v>
      </c>
      <c r="D22" s="32" t="n">
        <v>1</v>
      </c>
      <c r="E22" s="32" t="n">
        <v>2</v>
      </c>
      <c r="F22" s="32" t="n">
        <v>1</v>
      </c>
      <c r="G22" s="31" t="n"/>
      <c r="H22" s="32" t="n"/>
      <c r="I22" s="32" t="n"/>
      <c r="J22" s="32" t="n"/>
      <c r="K22" s="33" t="n"/>
      <c r="L22" s="33" t="n"/>
      <c r="M22" s="33" t="n"/>
      <c r="N22" s="33" t="n"/>
      <c r="O22" s="31" t="n">
        <v>2</v>
      </c>
      <c r="P22" s="32" t="n">
        <v>1</v>
      </c>
      <c r="Q22" s="32" t="n">
        <v>2</v>
      </c>
      <c r="R22" s="32" t="n">
        <v>1</v>
      </c>
      <c r="S22" s="30">
        <f>IF(C22&gt;0,O22/C22%,0)</f>
        <v/>
      </c>
    </row>
    <row r="23" ht="16.5" customHeight="1">
      <c r="A23" s="11" t="inlineStr">
        <is>
          <t>30 tuổi</t>
        </is>
      </c>
      <c r="B23" s="30" t="n">
        <v>1995</v>
      </c>
      <c r="C23" s="31" t="n">
        <v>1</v>
      </c>
      <c r="D23" s="32" t="n">
        <v>1</v>
      </c>
      <c r="E23" s="32" t="n">
        <v>1</v>
      </c>
      <c r="F23" s="32" t="n">
        <v>1</v>
      </c>
      <c r="G23" s="31" t="n"/>
      <c r="H23" s="32" t="n"/>
      <c r="I23" s="32" t="n"/>
      <c r="J23" s="32" t="n"/>
      <c r="K23" s="33" t="n"/>
      <c r="L23" s="33" t="n"/>
      <c r="M23" s="33" t="n"/>
      <c r="N23" s="33" t="n"/>
      <c r="O23" s="31" t="n">
        <v>1</v>
      </c>
      <c r="P23" s="32" t="n">
        <v>1</v>
      </c>
      <c r="Q23" s="32" t="n">
        <v>1</v>
      </c>
      <c r="R23" s="32" t="n">
        <v>1</v>
      </c>
      <c r="S23" s="30">
        <f>IF(C23&gt;0,O23/C23%,0)</f>
        <v/>
      </c>
    </row>
    <row r="24" ht="16.5" customHeight="1">
      <c r="A24" s="11" t="inlineStr">
        <is>
          <t>31 tuổi</t>
        </is>
      </c>
      <c r="B24" s="30" t="n">
        <v>1994</v>
      </c>
      <c r="C24" s="31" t="n">
        <v>6</v>
      </c>
      <c r="D24" s="32" t="n">
        <v>3</v>
      </c>
      <c r="E24" s="32" t="n">
        <v>6</v>
      </c>
      <c r="F24" s="32" t="n">
        <v>3</v>
      </c>
      <c r="G24" s="31" t="n"/>
      <c r="H24" s="32" t="n"/>
      <c r="I24" s="32" t="n"/>
      <c r="J24" s="32" t="n"/>
      <c r="K24" s="33" t="n"/>
      <c r="L24" s="33" t="n"/>
      <c r="M24" s="33" t="n"/>
      <c r="N24" s="33" t="n"/>
      <c r="O24" s="31" t="n">
        <v>6</v>
      </c>
      <c r="P24" s="32" t="n">
        <v>3</v>
      </c>
      <c r="Q24" s="32" t="n">
        <v>6</v>
      </c>
      <c r="R24" s="32" t="n">
        <v>3</v>
      </c>
      <c r="S24" s="30">
        <f>IF(C24&gt;0,O24/C24%,0)</f>
        <v/>
      </c>
    </row>
    <row r="25" ht="16.5" customHeight="1">
      <c r="A25" s="11" t="inlineStr">
        <is>
          <t>32 tuổi</t>
        </is>
      </c>
      <c r="B25" s="30" t="n">
        <v>1993</v>
      </c>
      <c r="C25" s="31" t="n">
        <v>1</v>
      </c>
      <c r="D25" s="32" t="n">
        <v>1</v>
      </c>
      <c r="E25" s="32" t="n">
        <v>1</v>
      </c>
      <c r="F25" s="32" t="n">
        <v>1</v>
      </c>
      <c r="G25" s="31" t="n"/>
      <c r="H25" s="32" t="n"/>
      <c r="I25" s="32" t="n"/>
      <c r="J25" s="32" t="n"/>
      <c r="K25" s="33" t="n"/>
      <c r="L25" s="33" t="n"/>
      <c r="M25" s="33" t="n"/>
      <c r="N25" s="33" t="n"/>
      <c r="O25" s="31" t="n">
        <v>1</v>
      </c>
      <c r="P25" s="32" t="n">
        <v>1</v>
      </c>
      <c r="Q25" s="32" t="n">
        <v>1</v>
      </c>
      <c r="R25" s="32" t="n">
        <v>1</v>
      </c>
      <c r="S25" s="30">
        <f>IF(C25&gt;0,O25/C25%,0)</f>
        <v/>
      </c>
    </row>
    <row r="26" ht="16.5" customHeight="1">
      <c r="A26" s="11" t="inlineStr">
        <is>
          <t>33 tuổi</t>
        </is>
      </c>
      <c r="B26" s="30" t="n">
        <v>1992</v>
      </c>
      <c r="C26" s="31" t="n">
        <v>2</v>
      </c>
      <c r="D26" s="32" t="n">
        <v>1</v>
      </c>
      <c r="E26" s="32" t="n">
        <v>2</v>
      </c>
      <c r="F26" s="32" t="n">
        <v>1</v>
      </c>
      <c r="G26" s="31" t="n"/>
      <c r="H26" s="32" t="n"/>
      <c r="I26" s="32" t="n"/>
      <c r="J26" s="32" t="n"/>
      <c r="K26" s="33" t="n"/>
      <c r="L26" s="33" t="n"/>
      <c r="M26" s="33" t="n"/>
      <c r="N26" s="33" t="n"/>
      <c r="O26" s="31" t="n">
        <v>2</v>
      </c>
      <c r="P26" s="32" t="n">
        <v>1</v>
      </c>
      <c r="Q26" s="32" t="n">
        <v>2</v>
      </c>
      <c r="R26" s="32" t="n">
        <v>1</v>
      </c>
      <c r="S26" s="30">
        <f>IF(C26&gt;0,O26/C26%,0)</f>
        <v/>
      </c>
    </row>
    <row r="27" ht="16.5" customHeight="1">
      <c r="A27" s="11" t="inlineStr">
        <is>
          <t>34 tuổi</t>
        </is>
      </c>
      <c r="B27" s="30" t="n">
        <v>1991</v>
      </c>
      <c r="C27" s="31" t="n">
        <v>3</v>
      </c>
      <c r="D27" s="32" t="n">
        <v>1</v>
      </c>
      <c r="E27" s="32" t="n">
        <v>3</v>
      </c>
      <c r="F27" s="32" t="n">
        <v>1</v>
      </c>
      <c r="G27" s="31" t="n"/>
      <c r="H27" s="32" t="n"/>
      <c r="I27" s="32" t="n"/>
      <c r="J27" s="32" t="n"/>
      <c r="K27" s="33" t="n"/>
      <c r="L27" s="33" t="n"/>
      <c r="M27" s="33" t="n"/>
      <c r="N27" s="33" t="n"/>
      <c r="O27" s="31" t="n">
        <v>3</v>
      </c>
      <c r="P27" s="32" t="n">
        <v>1</v>
      </c>
      <c r="Q27" s="32" t="n">
        <v>3</v>
      </c>
      <c r="R27" s="32" t="n">
        <v>1</v>
      </c>
      <c r="S27" s="30">
        <f>IF(C27&gt;0,O27/C27%,0)</f>
        <v/>
      </c>
    </row>
    <row r="28" ht="16.5" customHeight="1">
      <c r="A28" s="34" t="inlineStr">
        <is>
          <t>35 tuổi</t>
        </is>
      </c>
      <c r="B28" s="30" t="n">
        <v>1990</v>
      </c>
      <c r="C28" s="31" t="n">
        <v>3</v>
      </c>
      <c r="D28" s="32" t="n">
        <v>2</v>
      </c>
      <c r="E28" s="32" t="n">
        <v>3</v>
      </c>
      <c r="F28" s="32" t="n">
        <v>2</v>
      </c>
      <c r="G28" s="31" t="n"/>
      <c r="H28" s="32" t="n"/>
      <c r="I28" s="32" t="n"/>
      <c r="J28" s="32" t="n"/>
      <c r="K28" s="33" t="n"/>
      <c r="L28" s="33" t="n"/>
      <c r="M28" s="33" t="n"/>
      <c r="N28" s="33" t="n"/>
      <c r="O28" s="31" t="n">
        <v>3</v>
      </c>
      <c r="P28" s="32" t="n">
        <v>2</v>
      </c>
      <c r="Q28" s="32" t="n">
        <v>3</v>
      </c>
      <c r="R28" s="32" t="n">
        <v>2</v>
      </c>
      <c r="S28" s="30">
        <f>IF(C28&gt;0,O28/C28%,0)</f>
        <v/>
      </c>
    </row>
    <row r="29" ht="16.5" customFormat="1" customHeight="1" s="36">
      <c r="A29" s="52" t="inlineStr">
        <is>
          <t>Cộng 15 - 35</t>
        </is>
      </c>
      <c r="B29" s="59" t="n"/>
      <c r="C29" s="35">
        <f>SUM(C19:C28)</f>
        <v/>
      </c>
      <c r="D29" s="35">
        <f>SUM(D19:D28)</f>
        <v/>
      </c>
      <c r="E29" s="35">
        <f>SUM(E19:E28)</f>
        <v/>
      </c>
      <c r="F29" s="35">
        <f>SUM(F19:F28)</f>
        <v/>
      </c>
      <c r="G29" s="35">
        <f>SUM(G19:G28)</f>
        <v/>
      </c>
      <c r="H29" s="35">
        <f>SUM(H19:H28)</f>
        <v/>
      </c>
      <c r="I29" s="35">
        <f>SUM(I19:I28)</f>
        <v/>
      </c>
      <c r="J29" s="35">
        <f>SUM(J19:J28)</f>
        <v/>
      </c>
      <c r="K29" s="35">
        <f>SUM(K19:K28)</f>
        <v/>
      </c>
      <c r="L29" s="35">
        <f>SUM(L19:L28)</f>
        <v/>
      </c>
      <c r="M29" s="35">
        <f>SUM(M19:M28)</f>
        <v/>
      </c>
      <c r="N29" s="35">
        <f>SUM(N19:N28)</f>
        <v/>
      </c>
      <c r="O29" s="35">
        <f>SUM(O19:O28)</f>
        <v/>
      </c>
      <c r="P29" s="35">
        <f>SUM(P19:P28)</f>
        <v/>
      </c>
      <c r="Q29" s="35">
        <f>SUM(Q19:Q28)</f>
        <v/>
      </c>
      <c r="R29" s="35">
        <f>SUM(R19:R28)</f>
        <v/>
      </c>
      <c r="S29" s="35">
        <f>O29/C29%</f>
        <v/>
      </c>
    </row>
    <row r="30" ht="16.5" customHeight="1">
      <c r="A30" s="11" t="inlineStr">
        <is>
          <t>36 tuổi</t>
        </is>
      </c>
      <c r="B30" s="37" t="n">
        <v>1989</v>
      </c>
      <c r="C30" s="38" t="n">
        <v>1</v>
      </c>
      <c r="D30" s="39" t="n"/>
      <c r="E30" s="39" t="n">
        <v>1</v>
      </c>
      <c r="F30" s="39" t="n"/>
      <c r="G30" s="38" t="n"/>
      <c r="H30" s="39" t="n"/>
      <c r="I30" s="39" t="n"/>
      <c r="J30" s="39" t="n"/>
      <c r="K30" s="40" t="n"/>
      <c r="L30" s="40" t="n"/>
      <c r="M30" s="40" t="n"/>
      <c r="N30" s="40" t="n"/>
      <c r="O30" s="38" t="n">
        <v>1</v>
      </c>
      <c r="P30" s="39" t="n"/>
      <c r="Q30" s="39" t="n">
        <v>1</v>
      </c>
      <c r="R30" s="39" t="n"/>
      <c r="S30" s="37">
        <f>IF(C30&gt;0,O30/C30%,0)</f>
        <v/>
      </c>
    </row>
    <row r="31" ht="16.5" customHeight="1">
      <c r="A31" s="11" t="inlineStr">
        <is>
          <t>37 tuổi</t>
        </is>
      </c>
      <c r="B31" s="30" t="n">
        <v>1988</v>
      </c>
      <c r="C31" s="31" t="n">
        <v>4</v>
      </c>
      <c r="D31" s="32" t="n">
        <v>1</v>
      </c>
      <c r="E31" s="32" t="n">
        <v>4</v>
      </c>
      <c r="F31" s="32" t="n">
        <v>1</v>
      </c>
      <c r="G31" s="31" t="n"/>
      <c r="H31" s="32" t="n"/>
      <c r="I31" s="32" t="n"/>
      <c r="J31" s="32" t="n"/>
      <c r="K31" s="33" t="n"/>
      <c r="L31" s="33" t="n"/>
      <c r="M31" s="33" t="n"/>
      <c r="N31" s="33" t="n"/>
      <c r="O31" s="31" t="n">
        <v>4</v>
      </c>
      <c r="P31" s="32" t="n">
        <v>1</v>
      </c>
      <c r="Q31" s="32" t="n">
        <v>4</v>
      </c>
      <c r="R31" s="32" t="n">
        <v>1</v>
      </c>
      <c r="S31" s="30">
        <f>IF(C31&gt;0,O31/C31%,0)</f>
        <v/>
      </c>
    </row>
    <row r="32" ht="16.5" customHeight="1">
      <c r="A32" s="11" t="inlineStr">
        <is>
          <t>38 tuổi</t>
        </is>
      </c>
      <c r="B32" s="30" t="n">
        <v>1987</v>
      </c>
      <c r="C32" s="31" t="n"/>
      <c r="D32" s="32" t="n"/>
      <c r="E32" s="32" t="n"/>
      <c r="F32" s="32" t="n"/>
      <c r="G32" s="31" t="n"/>
      <c r="H32" s="32" t="n"/>
      <c r="I32" s="32" t="n"/>
      <c r="J32" s="32" t="n"/>
      <c r="K32" s="33" t="n"/>
      <c r="L32" s="33" t="n"/>
      <c r="M32" s="33" t="n"/>
      <c r="N32" s="33" t="n"/>
      <c r="O32" s="31" t="n"/>
      <c r="P32" s="32" t="n"/>
      <c r="Q32" s="32" t="n"/>
      <c r="R32" s="32" t="n"/>
      <c r="S32" s="30">
        <f>IF(C32&gt;0,O32/C32%,0)</f>
        <v/>
      </c>
    </row>
    <row r="33" ht="16.5" customHeight="1">
      <c r="A33" s="11" t="inlineStr">
        <is>
          <t>39 tuổi</t>
        </is>
      </c>
      <c r="B33" s="30" t="n">
        <v>1986</v>
      </c>
      <c r="C33" s="31" t="n">
        <v>3</v>
      </c>
      <c r="D33" s="32" t="n">
        <v>1</v>
      </c>
      <c r="E33" s="32" t="n">
        <v>3</v>
      </c>
      <c r="F33" s="32" t="n">
        <v>1</v>
      </c>
      <c r="G33" s="31" t="n"/>
      <c r="H33" s="32" t="n"/>
      <c r="I33" s="32" t="n"/>
      <c r="J33" s="32" t="n"/>
      <c r="K33" s="33" t="n"/>
      <c r="L33" s="33" t="n"/>
      <c r="M33" s="33" t="n"/>
      <c r="N33" s="33" t="n"/>
      <c r="O33" s="31" t="n">
        <v>3</v>
      </c>
      <c r="P33" s="32" t="n">
        <v>1</v>
      </c>
      <c r="Q33" s="32" t="n">
        <v>3</v>
      </c>
      <c r="R33" s="32" t="n">
        <v>1</v>
      </c>
      <c r="S33" s="30">
        <f>IF(C33&gt;0,O33/C33%,0)</f>
        <v/>
      </c>
    </row>
    <row r="34" ht="16.5" customHeight="1">
      <c r="A34" s="11" t="inlineStr">
        <is>
          <t>40 tuổi</t>
        </is>
      </c>
      <c r="B34" s="30" t="n">
        <v>1985</v>
      </c>
      <c r="C34" s="31" t="n">
        <v>3</v>
      </c>
      <c r="D34" s="32" t="n">
        <v>3</v>
      </c>
      <c r="E34" s="32" t="n">
        <v>3</v>
      </c>
      <c r="F34" s="32" t="n">
        <v>3</v>
      </c>
      <c r="G34" s="31" t="n"/>
      <c r="H34" s="32" t="n"/>
      <c r="I34" s="32" t="n"/>
      <c r="J34" s="32" t="n"/>
      <c r="K34" s="33" t="n"/>
      <c r="L34" s="33" t="n"/>
      <c r="M34" s="33" t="n"/>
      <c r="N34" s="33" t="n"/>
      <c r="O34" s="31" t="n">
        <v>3</v>
      </c>
      <c r="P34" s="32" t="n">
        <v>3</v>
      </c>
      <c r="Q34" s="32" t="n">
        <v>3</v>
      </c>
      <c r="R34" s="32" t="n">
        <v>3</v>
      </c>
      <c r="S34" s="30">
        <f>IF(C34&gt;0,O34/C34%,0)</f>
        <v/>
      </c>
    </row>
    <row r="35" ht="16.5" customHeight="1">
      <c r="A35" s="11" t="inlineStr">
        <is>
          <t>41 tuổi</t>
        </is>
      </c>
      <c r="B35" s="30" t="n">
        <v>1984</v>
      </c>
      <c r="C35" s="31" t="n">
        <v>1</v>
      </c>
      <c r="D35" s="32" t="n"/>
      <c r="E35" s="32" t="n">
        <v>1</v>
      </c>
      <c r="F35" s="32" t="n"/>
      <c r="G35" s="31" t="n"/>
      <c r="H35" s="32" t="n"/>
      <c r="I35" s="32" t="n"/>
      <c r="J35" s="32" t="n"/>
      <c r="K35" s="33" t="n"/>
      <c r="L35" s="33" t="n"/>
      <c r="M35" s="33" t="n"/>
      <c r="N35" s="33" t="n"/>
      <c r="O35" s="31" t="n">
        <v>1</v>
      </c>
      <c r="P35" s="32" t="n"/>
      <c r="Q35" s="32" t="n">
        <v>1</v>
      </c>
      <c r="R35" s="32" t="n"/>
      <c r="S35" s="30">
        <f>IF(C35&gt;0,O35/C35%,0)</f>
        <v/>
      </c>
    </row>
    <row r="36" ht="16.5" customHeight="1">
      <c r="A36" s="11" t="inlineStr">
        <is>
          <t>42 tuổi</t>
        </is>
      </c>
      <c r="B36" s="30" t="n">
        <v>1983</v>
      </c>
      <c r="C36" s="31" t="n"/>
      <c r="D36" s="32" t="n"/>
      <c r="E36" s="32" t="n"/>
      <c r="F36" s="32" t="n"/>
      <c r="G36" s="31" t="n"/>
      <c r="H36" s="32" t="n"/>
      <c r="I36" s="32" t="n"/>
      <c r="J36" s="32" t="n"/>
      <c r="K36" s="33" t="n"/>
      <c r="L36" s="33" t="n"/>
      <c r="M36" s="33" t="n"/>
      <c r="N36" s="33" t="n"/>
      <c r="O36" s="31" t="n"/>
      <c r="P36" s="32" t="n"/>
      <c r="Q36" s="32" t="n"/>
      <c r="R36" s="32" t="n"/>
      <c r="S36" s="30">
        <f>IF(C36&gt;0,O36/C36%,0)</f>
        <v/>
      </c>
    </row>
    <row r="37" ht="16.5" customHeight="1">
      <c r="A37" s="11" t="inlineStr">
        <is>
          <t>43 tuổi</t>
        </is>
      </c>
      <c r="B37" s="30" t="n">
        <v>1982</v>
      </c>
      <c r="C37" s="31" t="n"/>
      <c r="D37" s="32" t="n"/>
      <c r="E37" s="32" t="n"/>
      <c r="F37" s="32" t="n"/>
      <c r="G37" s="31" t="n"/>
      <c r="H37" s="32" t="n"/>
      <c r="I37" s="32" t="n"/>
      <c r="J37" s="32" t="n"/>
      <c r="K37" s="33" t="n"/>
      <c r="L37" s="33" t="n"/>
      <c r="M37" s="33" t="n"/>
      <c r="N37" s="33" t="n"/>
      <c r="O37" s="31" t="n"/>
      <c r="P37" s="32" t="n"/>
      <c r="Q37" s="32" t="n"/>
      <c r="R37" s="32" t="n"/>
      <c r="S37" s="30">
        <f>IF(C37&gt;0,O37/C37%,0)</f>
        <v/>
      </c>
    </row>
    <row r="38" ht="16.5" customHeight="1">
      <c r="A38" s="11" t="inlineStr">
        <is>
          <t>44 tuổi</t>
        </is>
      </c>
      <c r="B38" s="30" t="n">
        <v>1981</v>
      </c>
      <c r="C38" s="31" t="n">
        <v>2</v>
      </c>
      <c r="D38" s="32" t="n">
        <v>1</v>
      </c>
      <c r="E38" s="32" t="n">
        <v>2</v>
      </c>
      <c r="F38" s="32" t="n">
        <v>1</v>
      </c>
      <c r="G38" s="31" t="n"/>
      <c r="H38" s="32" t="n"/>
      <c r="I38" s="32" t="n"/>
      <c r="J38" s="32" t="n"/>
      <c r="K38" s="33" t="n"/>
      <c r="L38" s="33" t="n"/>
      <c r="M38" s="33" t="n"/>
      <c r="N38" s="33" t="n"/>
      <c r="O38" s="31" t="n">
        <v>2</v>
      </c>
      <c r="P38" s="32" t="n">
        <v>1</v>
      </c>
      <c r="Q38" s="32" t="n">
        <v>2</v>
      </c>
      <c r="R38" s="32" t="n">
        <v>1</v>
      </c>
      <c r="S38" s="30">
        <f>IF(C38&gt;0,O38/C38%,0)</f>
        <v/>
      </c>
    </row>
    <row r="39" ht="16.5" customHeight="1">
      <c r="A39" s="11" t="inlineStr">
        <is>
          <t>45 tuổi</t>
        </is>
      </c>
      <c r="B39" s="30" t="n">
        <v>1980</v>
      </c>
      <c r="C39" s="31" t="n"/>
      <c r="D39" s="32" t="n"/>
      <c r="E39" s="32" t="n"/>
      <c r="F39" s="32" t="n"/>
      <c r="G39" s="31" t="n"/>
      <c r="H39" s="32" t="n"/>
      <c r="I39" s="32" t="n"/>
      <c r="J39" s="32" t="n"/>
      <c r="K39" s="33" t="n"/>
      <c r="L39" s="33" t="n"/>
      <c r="M39" s="33" t="n"/>
      <c r="N39" s="33" t="n"/>
      <c r="O39" s="31" t="n"/>
      <c r="P39" s="32" t="n"/>
      <c r="Q39" s="32" t="n"/>
      <c r="R39" s="32" t="n"/>
      <c r="S39" s="30">
        <f>IF(C39&gt;0,O39/C39%,0)</f>
        <v/>
      </c>
    </row>
    <row r="40" ht="16.5" customHeight="1">
      <c r="A40" s="11" t="inlineStr">
        <is>
          <t>46 tuổi</t>
        </is>
      </c>
      <c r="B40" s="30" t="n">
        <v>1979</v>
      </c>
      <c r="C40" s="31" t="n"/>
      <c r="D40" s="32" t="n"/>
      <c r="E40" s="32" t="n"/>
      <c r="F40" s="32" t="n"/>
      <c r="G40" s="31" t="n"/>
      <c r="H40" s="32" t="n"/>
      <c r="I40" s="32" t="n"/>
      <c r="J40" s="32" t="n"/>
      <c r="K40" s="33" t="n"/>
      <c r="L40" s="33" t="n"/>
      <c r="M40" s="33" t="n"/>
      <c r="N40" s="33" t="n"/>
      <c r="O40" s="31" t="n"/>
      <c r="P40" s="32" t="n"/>
      <c r="Q40" s="32" t="n"/>
      <c r="R40" s="32" t="n"/>
      <c r="S40" s="30">
        <f>IF(C40&gt;0,O40/C40%,0)</f>
        <v/>
      </c>
    </row>
    <row r="41" ht="16.5" customHeight="1">
      <c r="A41" s="11" t="inlineStr">
        <is>
          <t>47 tuổi</t>
        </is>
      </c>
      <c r="B41" s="30" t="n">
        <v>1978</v>
      </c>
      <c r="C41" s="31" t="n">
        <v>1</v>
      </c>
      <c r="D41" s="32" t="n">
        <v>1</v>
      </c>
      <c r="E41" s="32" t="n">
        <v>1</v>
      </c>
      <c r="F41" s="32" t="n">
        <v>1</v>
      </c>
      <c r="G41" s="31" t="n"/>
      <c r="H41" s="32" t="n"/>
      <c r="I41" s="32" t="n"/>
      <c r="J41" s="32" t="n"/>
      <c r="K41" s="33" t="n"/>
      <c r="L41" s="33" t="n"/>
      <c r="M41" s="33" t="n"/>
      <c r="N41" s="33" t="n"/>
      <c r="O41" s="31" t="n">
        <v>1</v>
      </c>
      <c r="P41" s="32" t="n">
        <v>1</v>
      </c>
      <c r="Q41" s="32" t="n">
        <v>1</v>
      </c>
      <c r="R41" s="32" t="n">
        <v>1</v>
      </c>
      <c r="S41" s="30">
        <f>IF(C41&gt;0,O41/C41%,0)</f>
        <v/>
      </c>
    </row>
    <row r="42" ht="16.5" customHeight="1">
      <c r="A42" s="11" t="inlineStr">
        <is>
          <t>48 tuổi</t>
        </is>
      </c>
      <c r="B42" s="30" t="n">
        <v>1977</v>
      </c>
      <c r="C42" s="31" t="n"/>
      <c r="D42" s="32" t="n"/>
      <c r="E42" s="32" t="n"/>
      <c r="F42" s="32" t="n"/>
      <c r="G42" s="31" t="n"/>
      <c r="H42" s="32" t="n"/>
      <c r="I42" s="32" t="n"/>
      <c r="J42" s="32" t="n"/>
      <c r="K42" s="33" t="n"/>
      <c r="L42" s="33" t="n"/>
      <c r="M42" s="33" t="n"/>
      <c r="N42" s="33" t="n"/>
      <c r="O42" s="31" t="n"/>
      <c r="P42" s="32" t="n"/>
      <c r="Q42" s="32" t="n"/>
      <c r="R42" s="32" t="n"/>
      <c r="S42" s="30">
        <f>IF(C42&gt;0,O42/C42%,0)</f>
        <v/>
      </c>
    </row>
    <row r="43" ht="16.5" customHeight="1">
      <c r="A43" s="11" t="inlineStr">
        <is>
          <t>49 tuổi</t>
        </is>
      </c>
      <c r="B43" s="30" t="n">
        <v>1976</v>
      </c>
      <c r="C43" s="31" t="n"/>
      <c r="D43" s="32" t="n"/>
      <c r="E43" s="32" t="n"/>
      <c r="F43" s="32" t="n"/>
      <c r="G43" s="31" t="n"/>
      <c r="H43" s="32" t="n"/>
      <c r="I43" s="32" t="n"/>
      <c r="J43" s="32" t="n"/>
      <c r="K43" s="33" t="n"/>
      <c r="L43" s="33" t="n"/>
      <c r="M43" s="33" t="n"/>
      <c r="N43" s="33" t="n"/>
      <c r="O43" s="31" t="n"/>
      <c r="P43" s="32" t="n"/>
      <c r="Q43" s="32" t="n"/>
      <c r="R43" s="32" t="n"/>
      <c r="S43" s="30">
        <f>IF(C43&gt;0,O43/C43%,0)</f>
        <v/>
      </c>
    </row>
    <row r="44" ht="16.5" customHeight="1">
      <c r="A44" s="11" t="inlineStr">
        <is>
          <t>50 tuổi</t>
        </is>
      </c>
      <c r="B44" s="30" t="n">
        <v>1975</v>
      </c>
      <c r="C44" s="31" t="n"/>
      <c r="D44" s="32" t="n"/>
      <c r="E44" s="32" t="n"/>
      <c r="F44" s="32" t="n"/>
      <c r="G44" s="31" t="n"/>
      <c r="H44" s="32" t="n"/>
      <c r="I44" s="32" t="n"/>
      <c r="J44" s="32" t="n"/>
      <c r="K44" s="33" t="n"/>
      <c r="L44" s="33" t="n"/>
      <c r="M44" s="33" t="n"/>
      <c r="N44" s="33" t="n"/>
      <c r="O44" s="31" t="n"/>
      <c r="P44" s="32" t="n"/>
      <c r="Q44" s="32" t="n"/>
      <c r="R44" s="32" t="n"/>
      <c r="S44" s="30">
        <f>IF(C44&gt;0,O44/C44%,0)</f>
        <v/>
      </c>
    </row>
    <row r="45" ht="16.5" customHeight="1">
      <c r="A45" s="11" t="inlineStr">
        <is>
          <t>51 tuổi</t>
        </is>
      </c>
      <c r="B45" s="30" t="n">
        <v>1974</v>
      </c>
      <c r="C45" s="31" t="n">
        <v>1</v>
      </c>
      <c r="D45" s="32" t="n"/>
      <c r="E45" s="32" t="n">
        <v>1</v>
      </c>
      <c r="F45" s="32" t="n"/>
      <c r="G45" s="31" t="n"/>
      <c r="H45" s="32" t="n"/>
      <c r="I45" s="32" t="n"/>
      <c r="J45" s="32" t="n"/>
      <c r="K45" s="33" t="n"/>
      <c r="L45" s="33" t="n"/>
      <c r="M45" s="33" t="n"/>
      <c r="N45" s="33" t="n"/>
      <c r="O45" s="31" t="n">
        <v>1</v>
      </c>
      <c r="P45" s="32" t="n"/>
      <c r="Q45" s="32" t="n">
        <v>1</v>
      </c>
      <c r="R45" s="32" t="n"/>
      <c r="S45" s="30">
        <f>IF(C45&gt;0,O45/C45%,0)</f>
        <v/>
      </c>
    </row>
    <row r="46" ht="16.5" customHeight="1">
      <c r="A46" s="11" t="inlineStr">
        <is>
          <t>52 tuổi</t>
        </is>
      </c>
      <c r="B46" s="30" t="n">
        <v>1973</v>
      </c>
      <c r="C46" s="31" t="n">
        <v>1</v>
      </c>
      <c r="D46" s="32" t="n"/>
      <c r="E46" s="32" t="n">
        <v>1</v>
      </c>
      <c r="F46" s="32" t="n"/>
      <c r="G46" s="31" t="n"/>
      <c r="H46" s="32" t="n"/>
      <c r="I46" s="32" t="n"/>
      <c r="J46" s="32" t="n"/>
      <c r="K46" s="33" t="n"/>
      <c r="L46" s="33" t="n"/>
      <c r="M46" s="33" t="n"/>
      <c r="N46" s="33" t="n"/>
      <c r="O46" s="31" t="n">
        <v>1</v>
      </c>
      <c r="P46" s="32" t="n"/>
      <c r="Q46" s="32" t="n">
        <v>1</v>
      </c>
      <c r="R46" s="32" t="n"/>
      <c r="S46" s="30">
        <f>IF(C46&gt;0,O46/C46%,0)</f>
        <v/>
      </c>
    </row>
    <row r="47" ht="16.5" customHeight="1">
      <c r="A47" s="11" t="inlineStr">
        <is>
          <t>53 tuổi</t>
        </is>
      </c>
      <c r="B47" s="30" t="n">
        <v>1972</v>
      </c>
      <c r="C47" s="31" t="n">
        <v>1</v>
      </c>
      <c r="D47" s="32" t="n">
        <v>1</v>
      </c>
      <c r="E47" s="32" t="n">
        <v>1</v>
      </c>
      <c r="F47" s="32" t="n">
        <v>1</v>
      </c>
      <c r="G47" s="31" t="n"/>
      <c r="H47" s="32" t="n"/>
      <c r="I47" s="32" t="n"/>
      <c r="J47" s="32" t="n"/>
      <c r="K47" s="33" t="n"/>
      <c r="L47" s="33" t="n"/>
      <c r="M47" s="33" t="n"/>
      <c r="N47" s="33" t="n"/>
      <c r="O47" s="31" t="n">
        <v>1</v>
      </c>
      <c r="P47" s="32" t="n">
        <v>1</v>
      </c>
      <c r="Q47" s="32" t="n">
        <v>1</v>
      </c>
      <c r="R47" s="32" t="n">
        <v>1</v>
      </c>
      <c r="S47" s="30">
        <f>IF(C47&gt;0,O47/C47%,0)</f>
        <v/>
      </c>
    </row>
    <row r="48" ht="16.5" customHeight="1">
      <c r="A48" s="11" t="inlineStr">
        <is>
          <t>54 tuổi</t>
        </is>
      </c>
      <c r="B48" s="30" t="n">
        <v>1971</v>
      </c>
      <c r="C48" s="31" t="n"/>
      <c r="D48" s="32" t="n"/>
      <c r="E48" s="32" t="n"/>
      <c r="F48" s="32" t="n"/>
      <c r="G48" s="31" t="n"/>
      <c r="H48" s="32" t="n"/>
      <c r="I48" s="32" t="n"/>
      <c r="J48" s="32" t="n"/>
      <c r="K48" s="33" t="n"/>
      <c r="L48" s="33" t="n"/>
      <c r="M48" s="33" t="n"/>
      <c r="N48" s="33" t="n"/>
      <c r="O48" s="31" t="n"/>
      <c r="P48" s="32" t="n"/>
      <c r="Q48" s="32" t="n"/>
      <c r="R48" s="32" t="n"/>
      <c r="S48" s="30">
        <f>IF(C48&gt;0,O48/C48%,0)</f>
        <v/>
      </c>
    </row>
    <row r="49" ht="16.5" customHeight="1">
      <c r="A49" s="11" t="inlineStr">
        <is>
          <t>55 tuổi</t>
        </is>
      </c>
      <c r="B49" s="30" t="n">
        <v>1970</v>
      </c>
      <c r="C49" s="31" t="n">
        <v>2</v>
      </c>
      <c r="D49" s="32" t="n">
        <v>1</v>
      </c>
      <c r="E49" s="32" t="n">
        <v>2</v>
      </c>
      <c r="F49" s="32" t="n">
        <v>1</v>
      </c>
      <c r="G49" s="31" t="n"/>
      <c r="H49" s="32" t="n"/>
      <c r="I49" s="32" t="n"/>
      <c r="J49" s="32" t="n"/>
      <c r="K49" s="33" t="n"/>
      <c r="L49" s="33" t="n"/>
      <c r="M49" s="33" t="n"/>
      <c r="N49" s="33" t="n"/>
      <c r="O49" s="31" t="n">
        <v>2</v>
      </c>
      <c r="P49" s="32" t="n">
        <v>1</v>
      </c>
      <c r="Q49" s="32" t="n">
        <v>2</v>
      </c>
      <c r="R49" s="32" t="n">
        <v>1</v>
      </c>
      <c r="S49" s="30">
        <f>IF(C49&gt;0,O49/C49%,0)</f>
        <v/>
      </c>
    </row>
    <row r="50" ht="16.5" customHeight="1">
      <c r="A50" s="11" t="inlineStr">
        <is>
          <t>56 tuổi</t>
        </is>
      </c>
      <c r="B50" s="30" t="n">
        <v>1969</v>
      </c>
      <c r="C50" s="31" t="n"/>
      <c r="D50" s="32" t="n"/>
      <c r="E50" s="32" t="n"/>
      <c r="F50" s="32" t="n"/>
      <c r="G50" s="31" t="n"/>
      <c r="H50" s="32" t="n"/>
      <c r="I50" s="32" t="n"/>
      <c r="J50" s="32" t="n"/>
      <c r="K50" s="33" t="n"/>
      <c r="L50" s="33" t="n"/>
      <c r="M50" s="33" t="n"/>
      <c r="N50" s="33" t="n"/>
      <c r="O50" s="31" t="n"/>
      <c r="P50" s="32" t="n"/>
      <c r="Q50" s="32" t="n"/>
      <c r="R50" s="32" t="n"/>
      <c r="S50" s="30">
        <f>IF(C50&gt;0,O50/C50%,0)</f>
        <v/>
      </c>
    </row>
    <row r="51" ht="16.5" customHeight="1">
      <c r="A51" s="11" t="inlineStr">
        <is>
          <t>57 tuổi</t>
        </is>
      </c>
      <c r="B51" s="30" t="n">
        <v>1968</v>
      </c>
      <c r="C51" s="31" t="n"/>
      <c r="D51" s="32" t="n"/>
      <c r="E51" s="32" t="n"/>
      <c r="F51" s="32" t="n"/>
      <c r="G51" s="31" t="n"/>
      <c r="H51" s="32" t="n"/>
      <c r="I51" s="32" t="n"/>
      <c r="J51" s="32" t="n"/>
      <c r="K51" s="33" t="n"/>
      <c r="L51" s="33" t="n"/>
      <c r="M51" s="33" t="n"/>
      <c r="N51" s="33" t="n"/>
      <c r="O51" s="31" t="n"/>
      <c r="P51" s="32" t="n"/>
      <c r="Q51" s="32" t="n"/>
      <c r="R51" s="32" t="n"/>
      <c r="S51" s="30">
        <f>IF(C51&gt;0,O51/C51%,0)</f>
        <v/>
      </c>
    </row>
    <row r="52" ht="16.5" customHeight="1">
      <c r="A52" s="11" t="inlineStr">
        <is>
          <t>58 tuổi</t>
        </is>
      </c>
      <c r="B52" s="30" t="n">
        <v>1967</v>
      </c>
      <c r="C52" s="31" t="n">
        <v>1</v>
      </c>
      <c r="D52" s="32" t="n"/>
      <c r="E52" s="32" t="n">
        <v>1</v>
      </c>
      <c r="F52" s="32" t="n"/>
      <c r="G52" s="31" t="n"/>
      <c r="H52" s="32" t="n"/>
      <c r="I52" s="32" t="n"/>
      <c r="J52" s="32" t="n"/>
      <c r="K52" s="33" t="n"/>
      <c r="L52" s="33" t="n"/>
      <c r="M52" s="33" t="n"/>
      <c r="N52" s="33" t="n"/>
      <c r="O52" s="31" t="n">
        <v>1</v>
      </c>
      <c r="P52" s="32" t="n"/>
      <c r="Q52" s="32" t="n">
        <v>1</v>
      </c>
      <c r="R52" s="32" t="n"/>
      <c r="S52" s="30">
        <f>IF(C52&gt;0,O52/C52%,0)</f>
        <v/>
      </c>
    </row>
    <row r="53" ht="16.5" customHeight="1">
      <c r="A53" s="11" t="inlineStr">
        <is>
          <t>59 tuổi</t>
        </is>
      </c>
      <c r="B53" s="30" t="n">
        <v>1966</v>
      </c>
      <c r="C53" s="31" t="n"/>
      <c r="D53" s="32" t="n"/>
      <c r="E53" s="32" t="n"/>
      <c r="F53" s="32" t="n"/>
      <c r="G53" s="31" t="n"/>
      <c r="H53" s="32" t="n"/>
      <c r="I53" s="32" t="n"/>
      <c r="J53" s="32" t="n"/>
      <c r="K53" s="33" t="n"/>
      <c r="L53" s="33" t="n"/>
      <c r="M53" s="33" t="n"/>
      <c r="N53" s="33" t="n"/>
      <c r="O53" s="31" t="n"/>
      <c r="P53" s="32" t="n"/>
      <c r="Q53" s="32" t="n"/>
      <c r="R53" s="32" t="n"/>
      <c r="S53" s="30">
        <f>IF(C53&gt;0,O53/C53%,0)</f>
        <v/>
      </c>
    </row>
    <row r="54" ht="16.5" customHeight="1">
      <c r="A54" s="11" t="inlineStr">
        <is>
          <t>60 tuổi</t>
        </is>
      </c>
      <c r="B54" s="30" t="n">
        <v>1965</v>
      </c>
      <c r="C54" s="31" t="n"/>
      <c r="D54" s="32" t="n"/>
      <c r="E54" s="32" t="n"/>
      <c r="F54" s="32" t="n"/>
      <c r="G54" s="31" t="n"/>
      <c r="H54" s="32" t="n"/>
      <c r="I54" s="32" t="n"/>
      <c r="J54" s="32" t="n"/>
      <c r="K54" s="33" t="n"/>
      <c r="L54" s="33" t="n"/>
      <c r="M54" s="33" t="n"/>
      <c r="N54" s="33" t="n"/>
      <c r="O54" s="31" t="n"/>
      <c r="P54" s="32" t="n"/>
      <c r="Q54" s="32" t="n"/>
      <c r="R54" s="32" t="n"/>
      <c r="S54" s="30">
        <f>IF(C54&gt;0,O54/C54%,0)</f>
        <v/>
      </c>
    </row>
    <row r="55" ht="16.5" customFormat="1" customHeight="1" s="36">
      <c r="A55" s="52" t="inlineStr">
        <is>
          <t>Cộng 15 - 60</t>
        </is>
      </c>
      <c r="B55" s="59" t="n"/>
      <c r="C55" s="35">
        <f>SUM(C30:C54)+C29+C18</f>
        <v/>
      </c>
      <c r="D55" s="35">
        <f>SUM(D30:D54)+D29+D18</f>
        <v/>
      </c>
      <c r="E55" s="35">
        <f>SUM(E30:E54)+E29+E18</f>
        <v/>
      </c>
      <c r="F55" s="35">
        <f>SUM(F30:F54)+F29+F18</f>
        <v/>
      </c>
      <c r="G55" s="35">
        <f>SUM(G30:G54)+G29+G18</f>
        <v/>
      </c>
      <c r="H55" s="35">
        <f>SUM(H30:H54)+H29+H18</f>
        <v/>
      </c>
      <c r="I55" s="35">
        <f>SUM(I30:I54)+I29+I18</f>
        <v/>
      </c>
      <c r="J55" s="35">
        <f>SUM(J30:J54)+J29+J18</f>
        <v/>
      </c>
      <c r="K55" s="35">
        <f>SUM(K30:K54)+K29+K18</f>
        <v/>
      </c>
      <c r="L55" s="35">
        <f>SUM(L30:L54)+L29+L18</f>
        <v/>
      </c>
      <c r="M55" s="35">
        <f>SUM(M30:M54)+M29+M18</f>
        <v/>
      </c>
      <c r="N55" s="35">
        <f>SUM(N30:N54)+N29+N18</f>
        <v/>
      </c>
      <c r="O55" s="35">
        <f>SUM(O30:O54)+O29+O18</f>
        <v/>
      </c>
      <c r="P55" s="35">
        <f>SUM(P30:P54)+P29+P18</f>
        <v/>
      </c>
      <c r="Q55" s="35">
        <f>SUM(Q30:Q54)+Q29+Q18</f>
        <v/>
      </c>
      <c r="R55" s="35">
        <f>SUM(R30:R54)+R29+R18</f>
        <v/>
      </c>
      <c r="S55" s="41">
        <f>O55/C55%</f>
        <v/>
      </c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46" t="n"/>
    </row>
    <row r="57" ht="15.75" customHeight="1">
      <c r="G57" s="1" t="n"/>
      <c r="H57" s="1" t="n"/>
      <c r="I57" s="1" t="n"/>
      <c r="J57" s="1" t="n"/>
      <c r="K57" s="1" t="n"/>
      <c r="L57" s="1" t="n"/>
      <c r="M57" s="1" t="n"/>
      <c r="N57" s="46" t="inlineStr">
        <is>
          <t>Hùng Lợi, ngày     tháng  năm 2026</t>
        </is>
      </c>
    </row>
    <row r="58" ht="15.75" customHeight="1">
      <c r="A58" s="42" t="inlineStr">
        <is>
          <t>NGƯỜI LẬP BIỂU</t>
        </is>
      </c>
      <c r="G58" s="1" t="n"/>
      <c r="H58" s="1" t="n"/>
      <c r="I58" s="1" t="n"/>
      <c r="J58" s="1" t="n"/>
      <c r="K58" s="1" t="n"/>
      <c r="L58" s="1" t="n"/>
      <c r="M58" s="1" t="n"/>
      <c r="N58" s="42" t="inlineStr">
        <is>
          <t>TM.ỦY BAN NHÂN DÂN</t>
        </is>
      </c>
    </row>
    <row r="59" ht="15.75" customHeight="1">
      <c r="A59" s="46" t="inlineStr">
        <is>
          <t>(Ký, ghi rõ họ tên)</t>
        </is>
      </c>
      <c r="G59" s="1" t="n"/>
      <c r="H59" s="1" t="n"/>
      <c r="I59" s="1" t="n"/>
      <c r="J59" s="1" t="n"/>
      <c r="K59" s="1" t="n"/>
      <c r="L59" s="1" t="n"/>
      <c r="M59" s="1" t="n"/>
      <c r="N59" s="42" t="n"/>
      <c r="O59" s="42" t="n"/>
      <c r="P59" s="42" t="inlineStr">
        <is>
          <t>CHỦ TỊCH</t>
        </is>
      </c>
      <c r="R59" s="42" t="n"/>
      <c r="S59" s="42" t="n"/>
    </row>
    <row r="60" ht="12.75" customHeight="1">
      <c r="N60" s="54" t="inlineStr">
        <is>
          <t>(Ký tên, đóng dấu)</t>
        </is>
      </c>
    </row>
    <row r="66" ht="12.75" customHeight="1">
      <c r="A66" s="42" t="n"/>
    </row>
  </sheetData>
  <mergeCells count="22">
    <mergeCell ref="A66:F66"/>
    <mergeCell ref="C4:F5"/>
    <mergeCell ref="N58:S58"/>
    <mergeCell ref="O4:R5"/>
    <mergeCell ref="A4:A6"/>
    <mergeCell ref="P59:Q59"/>
    <mergeCell ref="B4:B6"/>
    <mergeCell ref="S4:S6"/>
    <mergeCell ref="N57:S57"/>
    <mergeCell ref="N60:S60"/>
    <mergeCell ref="A18:B18"/>
    <mergeCell ref="K5:N5"/>
    <mergeCell ref="P1:S1"/>
    <mergeCell ref="A55:B55"/>
    <mergeCell ref="A58:F58"/>
    <mergeCell ref="O56:S56"/>
    <mergeCell ref="A59:F59"/>
    <mergeCell ref="G4:N4"/>
    <mergeCell ref="A29:B29"/>
    <mergeCell ref="A3:S3"/>
    <mergeCell ref="G5:J5"/>
    <mergeCell ref="A2:S2"/>
  </mergeCells>
  <pageMargins left="0.3149606299212598" right="0.1181102362204725" top="0.5511811023622047" bottom="0.5511811023622047" header="0.3149606299212598" footer="0.3149606299212598"/>
  <pageSetup orientation="portrait" paperSize="9" scale="73" fitToHeight="0" fitToWidth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QNC</dc:creator>
  <dcterms:created xsi:type="dcterms:W3CDTF">2024-10-01T09:17:03Z</dcterms:created>
  <dcterms:modified xsi:type="dcterms:W3CDTF">2026-09-21T17:19:12Z</dcterms:modified>
  <cp:lastModifiedBy>Cvjs</cp:lastModifiedBy>
  <cp:lastPrinted>2025-12-23T02:28:51Z</cp:lastPrinted>
</cp:coreProperties>
</file>